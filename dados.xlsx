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adam_lins_petrobras_com_br/Documents/Desktop/sistema_essencial_v1-main/"/>
    </mc:Choice>
  </mc:AlternateContent>
  <xr:revisionPtr revIDLastSave="115" documentId="8_{771A064D-370D-41E3-8F41-66B50BD90F29}" xr6:coauthVersionLast="47" xr6:coauthVersionMax="47" xr10:uidLastSave="{DF38432E-B99A-4E6F-9936-0555093BC31E}"/>
  <bookViews>
    <workbookView xWindow="-108" yWindow="-108" windowWidth="23256" windowHeight="12456" activeTab="1" xr2:uid="{1EAF4EB7-979E-44B7-8158-6DE59AE912B4}"/>
  </bookViews>
  <sheets>
    <sheet name="plan_clientes" sheetId="4" r:id="rId1"/>
    <sheet name="plan_propostas" sheetId="3" r:id="rId2"/>
    <sheet name="plan_dados" sheetId="1" r:id="rId3"/>
    <sheet name="plan_categorias" sheetId="2" r:id="rId4"/>
  </sheets>
  <definedNames>
    <definedName name="_xlnm._FilterDatabase" localSheetId="2" hidden="1">plan_dados!$A$1:$I$36</definedName>
    <definedName name="_xlnm._FilterDatabase" localSheetId="1" hidden="1">plan_propostas!$A$1:$H$1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" i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<sst xmlns="http://schemas.openxmlformats.org/spreadsheetml/2006/main" count="648" uniqueCount="275">
  <si>
    <t>DATA</t>
  </si>
  <si>
    <t>DESCRIÇÃO</t>
  </si>
  <si>
    <t>FORMA PGTO</t>
  </si>
  <si>
    <t>STATUS DO PAGAMENTO</t>
  </si>
  <si>
    <t>COMPETÊNCIA</t>
  </si>
  <si>
    <t>TIPO</t>
  </si>
  <si>
    <t>CATEGORIA</t>
  </si>
  <si>
    <t>ENTRADA</t>
  </si>
  <si>
    <t>SAÍDA</t>
  </si>
  <si>
    <t>Energia Eletrica</t>
  </si>
  <si>
    <t>Boleto - Inter</t>
  </si>
  <si>
    <t>Pago</t>
  </si>
  <si>
    <t>Despesa</t>
  </si>
  <si>
    <t>Energia</t>
  </si>
  <si>
    <t>Duo Nobre - NF 119</t>
  </si>
  <si>
    <t>Receita</t>
  </si>
  <si>
    <t>Juros e mora atraso - NF 119</t>
  </si>
  <si>
    <t>Juros</t>
  </si>
  <si>
    <t>Vale Refeição (23 dias uteis)</t>
  </si>
  <si>
    <t>Alimentação</t>
  </si>
  <si>
    <t>Taxa de Captacao - SPL</t>
  </si>
  <si>
    <t>Inter</t>
  </si>
  <si>
    <t>SPL</t>
  </si>
  <si>
    <t>Aplicaçao - Reserva</t>
  </si>
  <si>
    <t>Aluguel da sala</t>
  </si>
  <si>
    <t>Pix - Inter</t>
  </si>
  <si>
    <t>Aluguel</t>
  </si>
  <si>
    <t>Caução sala 2/3</t>
  </si>
  <si>
    <t>Distribuicao de Lucros - GPM</t>
  </si>
  <si>
    <t>GPM</t>
  </si>
  <si>
    <t>Distribuicao de Lucros - SPL</t>
  </si>
  <si>
    <t>Fabrica Rainha Isabel - NF 125</t>
  </si>
  <si>
    <t>Guia JUCEA  - Alteracao endereco</t>
  </si>
  <si>
    <t>Taxas</t>
  </si>
  <si>
    <t>Dafra da Amazonia - NF 124</t>
  </si>
  <si>
    <t>Prolabore - SPL</t>
  </si>
  <si>
    <t>Fatura Inter</t>
  </si>
  <si>
    <t>NT Industria - NF 126</t>
  </si>
  <si>
    <t>B2 Polimeros - NF 123</t>
  </si>
  <si>
    <t>Contabilidade</t>
  </si>
  <si>
    <t>Carboman - NF 117</t>
  </si>
  <si>
    <t>Boleto - Cora</t>
  </si>
  <si>
    <t>Oxy - NF 127</t>
  </si>
  <si>
    <t>Ambipar - NF 122</t>
  </si>
  <si>
    <t>INSS e IRPJ (Folha de pgto)</t>
  </si>
  <si>
    <t>Imposto</t>
  </si>
  <si>
    <t>Simples Nacional</t>
  </si>
  <si>
    <t>IITA - NF 131</t>
  </si>
  <si>
    <t>Internet Claro</t>
  </si>
  <si>
    <t>Internet</t>
  </si>
  <si>
    <t>Ambipar - NF 129</t>
  </si>
  <si>
    <t>Metal Aluminio - NF 128</t>
  </si>
  <si>
    <t>Juros e mora atraso - NF 128</t>
  </si>
  <si>
    <t>Metal Aluminio - NF 130</t>
  </si>
  <si>
    <t>Aplicaçao - Saldo de caixa emergencia</t>
  </si>
  <si>
    <t>Climazon - NF 121</t>
  </si>
  <si>
    <t>TED - Cora</t>
  </si>
  <si>
    <t>Provisao - Simoes Pires - OXY</t>
  </si>
  <si>
    <t>Juros_Meu Porquinho</t>
  </si>
  <si>
    <t>// Entradas</t>
  </si>
  <si>
    <t xml:space="preserve">            </t>
  </si>
  <si>
    <t>// Saídas</t>
  </si>
  <si>
    <t>            'Aporte': ['Recursos Próprios', 'Investidor Externo'],</t>
  </si>
  <si>
    <t>            'Juros': ['NF Atrasada', 'Rendimento de Investimento'],</t>
  </si>
  <si>
    <t>            'Resgate': ['Resgate de Investimento'],</t>
  </si>
  <si>
    <t>            'Receita': ['Prestação de Serviço'],</t>
  </si>
  <si>
    <t>            'Aplicação': ['Aplicação em Investimento'],</t>
  </si>
  <si>
    <t xml:space="preserve">            'Despesa': ['Alimentação', 'Aluguel', 'Anuidade', 'Certificado Digital', 'Contabilidade', </t>
  </si>
  <si>
    <t>                        'Simples Nacional', 'Taxas', 'Treinamento', 'Viagem'],</t>
  </si>
  <si>
    <t>            'Distribuição de Lucros': ['GPM', 'SPL'],</t>
  </si>
  <si>
    <t>            'Reserva de Caixa': ['Reserva de Caixa'],</t>
  </si>
  <si>
    <t>            'Transferência': ['Transferência']</t>
  </si>
  <si>
    <t>Prestação de Serviço</t>
  </si>
  <si>
    <t xml:space="preserve">                        'Energia', 'Imposto', 'Internet', 'Material de Expediente', 'Outras', 'Pro-labore', </t>
  </si>
  <si>
    <t>NF Atrasada</t>
  </si>
  <si>
    <t>Pro-labore</t>
  </si>
  <si>
    <t>Outras</t>
  </si>
  <si>
    <t>Reserva de Caixa</t>
  </si>
  <si>
    <t>Distribuição de Lucros</t>
  </si>
  <si>
    <t>Rendimento de Investimento</t>
  </si>
  <si>
    <t>TED - Inter</t>
  </si>
  <si>
    <t>OPERAÇÃO</t>
  </si>
  <si>
    <t>VALOR</t>
  </si>
  <si>
    <t>Projeto de Serviço</t>
  </si>
  <si>
    <t>Aprovado</t>
  </si>
  <si>
    <t>Logic Pro</t>
  </si>
  <si>
    <t>SIAV 2024</t>
  </si>
  <si>
    <t>Magnetron</t>
  </si>
  <si>
    <t>Projeto e constituicao</t>
  </si>
  <si>
    <t>BMS Refeicoes</t>
  </si>
  <si>
    <t>NT Industria</t>
  </si>
  <si>
    <t>Renovacao de LTI</t>
  </si>
  <si>
    <t>COMPOL</t>
  </si>
  <si>
    <t>Projeto de Reinvestimento</t>
  </si>
  <si>
    <t>IITA</t>
  </si>
  <si>
    <t>Extensão Fabril</t>
  </si>
  <si>
    <t>Metal Alumínio</t>
  </si>
  <si>
    <t>Projeto de impl. Sudam</t>
  </si>
  <si>
    <t>Projeto de diversificacao</t>
  </si>
  <si>
    <t>Inow Brasil</t>
  </si>
  <si>
    <t>Carboman</t>
  </si>
  <si>
    <t>Emissao de LTI</t>
  </si>
  <si>
    <t>Dan-Hebert</t>
  </si>
  <si>
    <t>Oliver Mobilidade</t>
  </si>
  <si>
    <t>Prorrogacao Decreto</t>
  </si>
  <si>
    <t>Harman</t>
  </si>
  <si>
    <t>Consultoria Economica</t>
  </si>
  <si>
    <t>Curso ZFM</t>
  </si>
  <si>
    <t>Projetos</t>
  </si>
  <si>
    <t>RDAP Ano base 2024</t>
  </si>
  <si>
    <t>Palco Metais</t>
  </si>
  <si>
    <t>Empresa de Cx Som</t>
  </si>
  <si>
    <t>Cometais</t>
  </si>
  <si>
    <t>Consulta Prévia - FDA</t>
  </si>
  <si>
    <t>Rainha Isabel</t>
  </si>
  <si>
    <t>RDAP 2024</t>
  </si>
  <si>
    <t>Jabil</t>
  </si>
  <si>
    <t>Devolucao recursos dos Recurso BASA</t>
  </si>
  <si>
    <t>Empresa de serviço</t>
  </si>
  <si>
    <t>Projeto ZFM</t>
  </si>
  <si>
    <t>Projeto ZFM - drone</t>
  </si>
  <si>
    <t>Whirlpool S.A.</t>
  </si>
  <si>
    <t>Avaliação de projetos</t>
  </si>
  <si>
    <t>Ambipar</t>
  </si>
  <si>
    <t>Faber-Castell</t>
  </si>
  <si>
    <t>Renovação de LTI</t>
  </si>
  <si>
    <t>Eteno</t>
  </si>
  <si>
    <t>Projeto de implantação</t>
  </si>
  <si>
    <t>Inclusão de NCM e LTI</t>
  </si>
  <si>
    <t>Brazimil</t>
  </si>
  <si>
    <t>LTI e Sudam</t>
  </si>
  <si>
    <t>Humax</t>
  </si>
  <si>
    <t>Bruno</t>
  </si>
  <si>
    <t>Projeto Sedecti</t>
  </si>
  <si>
    <t>Henrique</t>
  </si>
  <si>
    <t>Projeto (Empresa chinesa)</t>
  </si>
  <si>
    <t>R$ 5.000,00</t>
  </si>
  <si>
    <t>R$ 20.000,00</t>
  </si>
  <si>
    <t>R$ 25.000,00</t>
  </si>
  <si>
    <t>MXF</t>
  </si>
  <si>
    <t>Teltonika</t>
  </si>
  <si>
    <t>Projetos e Constituicao</t>
  </si>
  <si>
    <t>Duo nobre</t>
  </si>
  <si>
    <t>Simoes Pires</t>
  </si>
  <si>
    <t>Fixacao de PPB</t>
  </si>
  <si>
    <t>Bridge Industria</t>
  </si>
  <si>
    <t>Waku Sese</t>
  </si>
  <si>
    <t>Projeto Sudam</t>
  </si>
  <si>
    <t>Dafra Motos</t>
  </si>
  <si>
    <t>B2 Polimero</t>
  </si>
  <si>
    <t>Rede Marketplace</t>
  </si>
  <si>
    <t>Projeto de valvula de plastico</t>
  </si>
  <si>
    <t>Projeto de Plastico</t>
  </si>
  <si>
    <t>M Plasticos</t>
  </si>
  <si>
    <t>LTI</t>
  </si>
  <si>
    <t>Mottu Motocicletas</t>
  </si>
  <si>
    <t>Projeto de ampliação</t>
  </si>
  <si>
    <t>Projeto Suframa e Sedecti</t>
  </si>
  <si>
    <t>Empresa de Celular</t>
  </si>
  <si>
    <t xml:space="preserve">Projetos </t>
  </si>
  <si>
    <t>Bike Racer</t>
  </si>
  <si>
    <t>Renovacao de LTI e Projetos</t>
  </si>
  <si>
    <t>RDAP Ano base 2023</t>
  </si>
  <si>
    <t>Vieiralves Empreendimentos</t>
  </si>
  <si>
    <t>Escopo</t>
  </si>
  <si>
    <t>Aguardando Aprovação</t>
  </si>
  <si>
    <t>Reprovado</t>
  </si>
  <si>
    <t>data_envio</t>
  </si>
  <si>
    <t>cliente</t>
  </si>
  <si>
    <t>escopo</t>
  </si>
  <si>
    <t>assinatura</t>
  </si>
  <si>
    <t>protocolo</t>
  </si>
  <si>
    <t>conclusão</t>
  </si>
  <si>
    <t>status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</si>
  <si>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</si>
  <si>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</si>
  <si>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</si>
  <si>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</si>
  <si>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</si>
  <si>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</si>
  <si>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</si>
  <si>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</si>
  <si>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</si>
  <si>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</si>
  <si>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</si>
  <si>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</si>
  <si>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</si>
  <si>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</si>
  <si>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</si>
  <si>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</si>
  <si>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</si>
  <si>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</si>
  <si>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</si>
  <si>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</si>
  <si>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</si>
  <si>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</si>
  <si>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</si>
  <si>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</si>
  <si>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</si>
  <si>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26/25</t>
  </si>
  <si>
    <t>27/25</t>
  </si>
  <si>
    <t>28/25</t>
  </si>
  <si>
    <t>29/25</t>
  </si>
  <si>
    <t>30/25</t>
  </si>
  <si>
    <t>31/25</t>
  </si>
  <si>
    <t>32/25</t>
  </si>
  <si>
    <t>33/25</t>
  </si>
  <si>
    <t>34/25</t>
  </si>
  <si>
    <t>35/25</t>
  </si>
  <si>
    <t>36/25</t>
  </si>
  <si>
    <t>37/25</t>
  </si>
  <si>
    <t>38/25</t>
  </si>
  <si>
    <t>39/25</t>
  </si>
  <si>
    <t>40/25</t>
  </si>
  <si>
    <t>41/25</t>
  </si>
  <si>
    <t>42/25</t>
  </si>
  <si>
    <t>43/25</t>
  </si>
  <si>
    <t>44/25</t>
  </si>
  <si>
    <t>45/25</t>
  </si>
  <si>
    <t>46/25</t>
  </si>
  <si>
    <t>47/25</t>
  </si>
  <si>
    <t>48/25</t>
  </si>
  <si>
    <t>49/25</t>
  </si>
  <si>
    <t>50/25</t>
  </si>
  <si>
    <t>51/25</t>
  </si>
  <si>
    <t>52/25</t>
  </si>
  <si>
    <t>53/25</t>
  </si>
  <si>
    <t>54/25</t>
  </si>
  <si>
    <t>55/25</t>
  </si>
  <si>
    <t>56/25</t>
  </si>
  <si>
    <t>57/25</t>
  </si>
  <si>
    <t>58/25</t>
  </si>
  <si>
    <t>59/25</t>
  </si>
  <si>
    <t>60/25</t>
  </si>
  <si>
    <t>61/25</t>
  </si>
  <si>
    <t>62/25</t>
  </si>
  <si>
    <t>63/25</t>
  </si>
  <si>
    <t>64/25</t>
  </si>
  <si>
    <t>65/25</t>
  </si>
  <si>
    <t>numero</t>
  </si>
  <si>
    <t>Natan Congelados</t>
  </si>
  <si>
    <t>Cliente</t>
  </si>
  <si>
    <t>12.163.869/0001-36</t>
  </si>
  <si>
    <t>39.693.319/0001-85</t>
  </si>
  <si>
    <t>22.860.457/0001-09</t>
  </si>
  <si>
    <t>24.352.003/0001-52</t>
  </si>
  <si>
    <t>63.634.596/0001-00</t>
  </si>
  <si>
    <t>04.222.931/0001-95</t>
  </si>
  <si>
    <t>Climazon Industrial Ltda</t>
  </si>
  <si>
    <t>02.896.727/0001-24</t>
  </si>
  <si>
    <t>08.322.908/0001-23</t>
  </si>
  <si>
    <t>01.628.778/0001-02</t>
  </si>
  <si>
    <t>07.656.227/0001-39</t>
  </si>
  <si>
    <t>04.223.244/0001-94</t>
  </si>
  <si>
    <t>07.693.320/0001-13</t>
  </si>
  <si>
    <t>04.898.857/0001-21</t>
  </si>
  <si>
    <t>18.422.603/0001-47</t>
  </si>
  <si>
    <t>57.088.751/0001-29</t>
  </si>
  <si>
    <t>07.675.099/0001-70</t>
  </si>
  <si>
    <t>03.439.223/0001-48</t>
  </si>
  <si>
    <t xml:space="preserve">	12.638.713/0002-45</t>
  </si>
  <si>
    <t>59.105.999/0069/74</t>
  </si>
  <si>
    <t>43.683.448/0001-60</t>
  </si>
  <si>
    <t>Tupã Motos</t>
  </si>
  <si>
    <t>CNPJ</t>
  </si>
  <si>
    <t>Observação</t>
  </si>
  <si>
    <t>multiplos</t>
  </si>
  <si>
    <t>s</t>
  </si>
  <si>
    <t>n</t>
  </si>
  <si>
    <t>66/25</t>
  </si>
  <si>
    <t>Horos Química</t>
  </si>
  <si>
    <t>05.917.351/0001-85</t>
  </si>
  <si>
    <t>Projeto Suframa</t>
  </si>
  <si>
    <t>Projeto Suframa + Sedecti</t>
  </si>
  <si>
    <t>RDAP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</si>
</sst>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1" x14ac:knownFonts="1">
    <font>
      <sz val="11"/>
      <color theme="1"/>
      <name val="Aptos Narrow"/>
      <family val="2"/>
      <scheme val="minor"/>
    </font>
    <font>
      <b/>
      <sz val="10"/>
      <color theme="1" tint="0.14999847407452621"/>
      <name val="Century Gothic"/>
      <family val="1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10"/>
      <color rgb="FF1B33D1"/>
      <name val="Century Gothic"/>
      <family val="1"/>
    </font>
    <font>
      <sz val="10"/>
      <color rgb="FFFF0000"/>
      <name val="Century Gothic"/>
      <family val="1"/>
    </font>
    <font>
      <sz val="10"/>
      <color rgb="FF1B33D1"/>
      <name val="Century Gothic"/>
      <family val="1"/>
    </font>
    <font>
      <sz val="8"/>
      <name val="Consolas"/>
      <family val="3"/>
    </font>
    <font>
      <u/>
      <sz val="11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4983BB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3">
    <dxf>
      <fill>
        <patternFill patternType="solid">
          <bgColor rgb="FFFFFDA9"/>
        </patternFill>
      </fill>
    </dxf>
    <dxf>
      <fill>
        <patternFill>
          <bgColor rgb="FF58F490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F7A9-F47F-49BD-9B13-FAE45475814E}">
  <dimension ref="A1:E44"/>
  <sheetViews>
    <sheetView topLeftCell="A24" workbookViewId="0">
      <selection activeCell="E37" sqref="E37"/>
    </sheetView>
  </sheetViews>
  <sheetFormatPr defaultRowHeight="14.4" x14ac:dyDescent="0.3"/>
  <cols>
    <col min="1" max="1" width="27.33203125" bestFit="1" customWidth="1"/>
    <col min="2" max="2" width="21.33203125" bestFit="1" customWidth="1"/>
    <col min="3" max="3" width="10.6640625" bestFit="1" customWidth="1"/>
  </cols>
  <sheetData>
    <row r="1" spans="1:3" x14ac:dyDescent="0.3">
      <c r="A1" s="19" t="s">
        <v>241</v>
      </c>
      <c r="B1" s="19" t="s">
        <v>264</v>
      </c>
      <c r="C1" s="19" t="s">
        <v>265</v>
      </c>
    </row>
    <row r="2" spans="1:3" x14ac:dyDescent="0.3">
      <c r="A2" s="19" t="s">
        <v>123</v>
      </c>
      <c r="B2" s="19" t="s">
        <v>242</v>
      </c>
      <c r="C2" s="19"/>
    </row>
    <row r="3" spans="1:3" x14ac:dyDescent="0.3">
      <c r="A3" s="19" t="s">
        <v>149</v>
      </c>
      <c r="B3" s="19" t="s">
        <v>243</v>
      </c>
      <c r="C3" s="19"/>
    </row>
    <row r="4" spans="1:3" x14ac:dyDescent="0.3">
      <c r="A4" s="19" t="s">
        <v>160</v>
      </c>
      <c r="B4" s="19" t="s">
        <v>244</v>
      </c>
      <c r="C4" s="19"/>
    </row>
    <row r="5" spans="1:3" x14ac:dyDescent="0.3">
      <c r="A5" s="19" t="s">
        <v>89</v>
      </c>
      <c r="B5" s="19"/>
      <c r="C5" s="19"/>
    </row>
    <row r="6" spans="1:3" x14ac:dyDescent="0.3">
      <c r="A6" s="19" t="s">
        <v>129</v>
      </c>
      <c r="B6" s="19"/>
      <c r="C6" s="19"/>
    </row>
    <row r="7" spans="1:3" x14ac:dyDescent="0.3">
      <c r="A7" s="19" t="s">
        <v>145</v>
      </c>
      <c r="B7" s="19" t="s">
        <v>245</v>
      </c>
      <c r="C7" s="19"/>
    </row>
    <row r="8" spans="1:3" x14ac:dyDescent="0.3">
      <c r="A8" s="19" t="s">
        <v>132</v>
      </c>
      <c r="B8" s="19"/>
      <c r="C8" s="19"/>
    </row>
    <row r="9" spans="1:3" x14ac:dyDescent="0.3">
      <c r="A9" s="19" t="s">
        <v>100</v>
      </c>
      <c r="B9" s="19" t="s">
        <v>246</v>
      </c>
      <c r="C9" s="19"/>
    </row>
    <row r="10" spans="1:3" x14ac:dyDescent="0.3">
      <c r="A10" s="19" t="s">
        <v>248</v>
      </c>
      <c r="B10" s="19" t="s">
        <v>247</v>
      </c>
      <c r="C10" s="19"/>
    </row>
    <row r="11" spans="1:3" x14ac:dyDescent="0.3">
      <c r="A11" s="19" t="s">
        <v>112</v>
      </c>
      <c r="B11" s="19" t="s">
        <v>249</v>
      </c>
      <c r="C11" s="19"/>
    </row>
    <row r="12" spans="1:3" x14ac:dyDescent="0.3">
      <c r="A12" s="19" t="s">
        <v>92</v>
      </c>
      <c r="B12" s="19"/>
      <c r="C12" s="19"/>
    </row>
    <row r="13" spans="1:3" x14ac:dyDescent="0.3">
      <c r="A13" s="19" t="s">
        <v>148</v>
      </c>
      <c r="B13" s="19" t="s">
        <v>250</v>
      </c>
      <c r="C13" s="19"/>
    </row>
    <row r="14" spans="1:3" x14ac:dyDescent="0.3">
      <c r="A14" s="19" t="s">
        <v>102</v>
      </c>
      <c r="B14" s="19"/>
      <c r="C14" s="19"/>
    </row>
    <row r="15" spans="1:3" x14ac:dyDescent="0.3">
      <c r="A15" s="19" t="s">
        <v>142</v>
      </c>
      <c r="B15" s="19" t="s">
        <v>251</v>
      </c>
      <c r="C15" s="19"/>
    </row>
    <row r="16" spans="1:3" x14ac:dyDescent="0.3">
      <c r="A16" s="19" t="s">
        <v>158</v>
      </c>
      <c r="B16" s="19"/>
      <c r="C16" s="19"/>
    </row>
    <row r="17" spans="1:3" x14ac:dyDescent="0.3">
      <c r="A17" s="19" t="s">
        <v>111</v>
      </c>
      <c r="B17" s="19"/>
      <c r="C17" s="19"/>
    </row>
    <row r="18" spans="1:3" x14ac:dyDescent="0.3">
      <c r="A18" s="19" t="s">
        <v>126</v>
      </c>
      <c r="B18" s="19"/>
      <c r="C18" s="19"/>
    </row>
    <row r="19" spans="1:3" x14ac:dyDescent="0.3">
      <c r="A19" s="19" t="s">
        <v>124</v>
      </c>
      <c r="B19" s="19" t="s">
        <v>252</v>
      </c>
      <c r="C19" s="19"/>
    </row>
    <row r="20" spans="1:3" x14ac:dyDescent="0.3">
      <c r="A20" s="19" t="s">
        <v>105</v>
      </c>
      <c r="B20" s="19"/>
      <c r="C20" s="19"/>
    </row>
    <row r="21" spans="1:3" x14ac:dyDescent="0.3">
      <c r="A21" s="19" t="s">
        <v>134</v>
      </c>
      <c r="B21" s="19"/>
      <c r="C21" s="19"/>
    </row>
    <row r="22" spans="1:3" x14ac:dyDescent="0.3">
      <c r="A22" s="19" t="s">
        <v>131</v>
      </c>
      <c r="B22" s="19"/>
      <c r="C22" s="19"/>
    </row>
    <row r="23" spans="1:3" x14ac:dyDescent="0.3">
      <c r="A23" s="19" t="s">
        <v>94</v>
      </c>
      <c r="B23" s="19" t="s">
        <v>254</v>
      </c>
      <c r="C23" s="19"/>
    </row>
    <row r="24" spans="1:3" x14ac:dyDescent="0.3">
      <c r="A24" s="19" t="s">
        <v>99</v>
      </c>
      <c r="B24" s="19"/>
      <c r="C24" s="19"/>
    </row>
    <row r="25" spans="1:3" x14ac:dyDescent="0.3">
      <c r="A25" s="19" t="s">
        <v>116</v>
      </c>
      <c r="B25" s="19" t="s">
        <v>255</v>
      </c>
      <c r="C25" s="19"/>
    </row>
    <row r="26" spans="1:3" x14ac:dyDescent="0.3">
      <c r="A26" s="19" t="s">
        <v>85</v>
      </c>
      <c r="B26" s="19" t="s">
        <v>256</v>
      </c>
      <c r="C26" s="19"/>
    </row>
    <row r="27" spans="1:3" x14ac:dyDescent="0.3">
      <c r="A27" s="19" t="s">
        <v>153</v>
      </c>
      <c r="B27" s="19" t="s">
        <v>257</v>
      </c>
      <c r="C27" s="19"/>
    </row>
    <row r="28" spans="1:3" x14ac:dyDescent="0.3">
      <c r="A28" s="19" t="s">
        <v>87</v>
      </c>
      <c r="B28" s="19"/>
      <c r="C28" s="19"/>
    </row>
    <row r="29" spans="1:3" x14ac:dyDescent="0.3">
      <c r="A29" s="19" t="s">
        <v>96</v>
      </c>
      <c r="B29" s="19" t="s">
        <v>258</v>
      </c>
      <c r="C29" s="19"/>
    </row>
    <row r="30" spans="1:3" x14ac:dyDescent="0.3">
      <c r="A30" s="19" t="s">
        <v>155</v>
      </c>
      <c r="B30" s="19" t="s">
        <v>262</v>
      </c>
      <c r="C30" s="19" t="s">
        <v>263</v>
      </c>
    </row>
    <row r="31" spans="1:3" x14ac:dyDescent="0.3">
      <c r="A31" s="19" t="s">
        <v>139</v>
      </c>
      <c r="B31" s="19"/>
      <c r="C31" s="19"/>
    </row>
    <row r="32" spans="1:3" x14ac:dyDescent="0.3">
      <c r="A32" s="19" t="s">
        <v>240</v>
      </c>
      <c r="B32" s="19"/>
      <c r="C32" s="19"/>
    </row>
    <row r="33" spans="1:5" x14ac:dyDescent="0.3">
      <c r="A33" s="19" t="s">
        <v>90</v>
      </c>
      <c r="B33" s="19" t="s">
        <v>259</v>
      </c>
      <c r="C33" s="19"/>
    </row>
    <row r="34" spans="1:5" x14ac:dyDescent="0.3">
      <c r="A34" s="19" t="s">
        <v>103</v>
      </c>
      <c r="B34" s="19" t="s">
        <v>260</v>
      </c>
      <c r="C34" s="19"/>
    </row>
    <row r="35" spans="1:5" x14ac:dyDescent="0.3">
      <c r="A35" s="19" t="s">
        <v>110</v>
      </c>
      <c r="B35" s="19"/>
      <c r="C35" s="19"/>
    </row>
    <row r="36" spans="1:5" x14ac:dyDescent="0.3">
      <c r="A36" s="19" t="s">
        <v>119</v>
      </c>
      <c r="B36" s="19"/>
      <c r="C36" s="19"/>
    </row>
    <row r="37" spans="1:5" x14ac:dyDescent="0.3">
      <c r="A37" s="19" t="s">
        <v>114</v>
      </c>
      <c r="B37" s="19" t="s">
        <v>253</v>
      </c>
      <c r="C37" s="19"/>
    </row>
    <row r="38" spans="1:5" x14ac:dyDescent="0.3">
      <c r="A38" s="19" t="s">
        <v>150</v>
      </c>
      <c r="B38" s="19"/>
      <c r="C38" s="19"/>
    </row>
    <row r="39" spans="1:5" x14ac:dyDescent="0.3">
      <c r="A39" s="19" t="s">
        <v>143</v>
      </c>
      <c r="B39" s="19"/>
      <c r="C39" s="19"/>
    </row>
    <row r="40" spans="1:5" x14ac:dyDescent="0.3">
      <c r="A40" s="19" t="s">
        <v>140</v>
      </c>
      <c r="B40" s="19"/>
      <c r="C40" s="19"/>
      <c r="E40" s="14"/>
    </row>
    <row r="41" spans="1:5" x14ac:dyDescent="0.3">
      <c r="A41" s="19" t="s">
        <v>163</v>
      </c>
      <c r="B41" s="19"/>
      <c r="C41" s="19"/>
    </row>
    <row r="42" spans="1:5" x14ac:dyDescent="0.3">
      <c r="A42" s="19" t="s">
        <v>146</v>
      </c>
      <c r="B42" s="19"/>
      <c r="C42" s="19"/>
    </row>
    <row r="43" spans="1:5" x14ac:dyDescent="0.3">
      <c r="A43" s="19" t="s">
        <v>121</v>
      </c>
      <c r="B43" s="19" t="s">
        <v>261</v>
      </c>
      <c r="C43" s="19"/>
    </row>
    <row r="44" spans="1:5" x14ac:dyDescent="0.3">
      <c r="A44" s="19" t="s">
        <v>270</v>
      </c>
      <c r="B44" s="19" t="s">
        <v>271</v>
      </c>
      <c r="C44" s="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7468-30D9-4AD7-950C-2CAB971251D8}">
  <dimension ref="A1:L73"/>
  <sheetViews>
    <sheetView tabSelected="1" topLeftCell="A67" workbookViewId="0">
      <selection activeCell="D82" sqref="D82"/>
    </sheetView>
  </sheetViews>
  <sheetFormatPr defaultRowHeight="14.4" x14ac:dyDescent="0.3"/>
  <cols>
    <col min="1" max="1" width="9.44140625" bestFit="1" customWidth="1"/>
    <col min="2" max="2" width="10.88671875" style="18" bestFit="1" customWidth="1"/>
    <col min="3" max="3" width="24.109375" bestFit="1" customWidth="1"/>
    <col min="4" max="4" width="32.33203125" bestFit="1" customWidth="1"/>
    <col min="5" max="5" width="11.33203125" bestFit="1" customWidth="1"/>
    <col min="6" max="6" width="11.5546875" bestFit="1" customWidth="1"/>
    <col min="7" max="7" width="11.6640625" bestFit="1" customWidth="1"/>
    <col min="8" max="8" width="19.6640625" bestFit="1" customWidth="1"/>
  </cols>
  <sheetData>
    <row r="1" spans="1:12" x14ac:dyDescent="0.3">
      <c r="A1" t="s">
        <v>239</v>
      </c>
      <c r="B1" s="18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266</v>
      </c>
    </row>
    <row r="2" spans="1:12" x14ac:dyDescent="0.3">
      <c r="A2" t="s">
        <v>194</v>
      </c>
      <c r="B2" s="18">
        <v>45761</v>
      </c>
      <c r="C2" t="s">
        <v>123</v>
      </c>
      <c r="D2" t="s">
        <v>109</v>
      </c>
      <c r="E2">
        <v>0</v>
      </c>
      <c r="F2">
        <v>4200</v>
      </c>
      <c r="G2">
        <v>1800</v>
      </c>
      <c r="H2" t="s">
        <v>84</v>
      </c>
      <c r="I2" t="s">
        <v>268</v>
      </c>
    </row>
    <row r="3" spans="1:12" x14ac:dyDescent="0.3">
      <c r="A3" t="s">
        <v>211</v>
      </c>
      <c r="B3" s="18">
        <v>45791</v>
      </c>
      <c r="C3" t="s">
        <v>123</v>
      </c>
      <c r="D3" t="s">
        <v>106</v>
      </c>
      <c r="E3">
        <v>0</v>
      </c>
      <c r="F3">
        <v>0</v>
      </c>
      <c r="G3">
        <v>2120</v>
      </c>
      <c r="H3" t="s">
        <v>84</v>
      </c>
      <c r="I3" t="s">
        <v>267</v>
      </c>
    </row>
    <row r="4" spans="1:12" x14ac:dyDescent="0.3">
      <c r="A4" t="s">
        <v>188</v>
      </c>
      <c r="B4" s="18">
        <v>45755</v>
      </c>
      <c r="C4" t="s">
        <v>149</v>
      </c>
      <c r="D4" t="s">
        <v>109</v>
      </c>
      <c r="E4">
        <v>400</v>
      </c>
      <c r="F4">
        <v>2800</v>
      </c>
      <c r="G4">
        <v>800</v>
      </c>
      <c r="H4" t="s">
        <v>84</v>
      </c>
      <c r="I4" t="s">
        <v>268</v>
      </c>
    </row>
    <row r="5" spans="1:12" x14ac:dyDescent="0.3">
      <c r="A5" t="s">
        <v>178</v>
      </c>
      <c r="B5" s="18">
        <v>45676</v>
      </c>
      <c r="C5" t="s">
        <v>160</v>
      </c>
      <c r="D5" t="s">
        <v>141</v>
      </c>
      <c r="E5">
        <v>2460</v>
      </c>
      <c r="F5">
        <v>9840</v>
      </c>
      <c r="G5">
        <v>12300</v>
      </c>
      <c r="H5" t="s">
        <v>84</v>
      </c>
      <c r="I5" t="s">
        <v>268</v>
      </c>
    </row>
    <row r="6" spans="1:12" x14ac:dyDescent="0.3">
      <c r="A6" t="s">
        <v>235</v>
      </c>
      <c r="B6" s="18">
        <v>45902</v>
      </c>
      <c r="C6" t="s">
        <v>89</v>
      </c>
      <c r="D6" t="s">
        <v>164</v>
      </c>
      <c r="E6">
        <v>0</v>
      </c>
      <c r="F6">
        <v>0</v>
      </c>
      <c r="G6">
        <v>0</v>
      </c>
      <c r="H6" t="s">
        <v>166</v>
      </c>
      <c r="I6" t="s">
        <v>268</v>
      </c>
    </row>
    <row r="7" spans="1:12" x14ac:dyDescent="0.3">
      <c r="A7" t="s">
        <v>174</v>
      </c>
      <c r="B7" s="18">
        <v>45658</v>
      </c>
      <c r="C7" t="s">
        <v>129</v>
      </c>
      <c r="D7" t="s">
        <v>130</v>
      </c>
      <c r="E7">
        <v>0</v>
      </c>
      <c r="F7">
        <v>0</v>
      </c>
      <c r="G7">
        <v>0</v>
      </c>
      <c r="H7" t="s">
        <v>166</v>
      </c>
      <c r="I7" t="s">
        <v>268</v>
      </c>
      <c r="J7" s="14"/>
    </row>
    <row r="8" spans="1:12" x14ac:dyDescent="0.3">
      <c r="A8" t="s">
        <v>189</v>
      </c>
      <c r="B8" s="18">
        <v>45755</v>
      </c>
      <c r="C8" t="s">
        <v>145</v>
      </c>
      <c r="D8" t="s">
        <v>109</v>
      </c>
      <c r="E8">
        <v>400</v>
      </c>
      <c r="F8">
        <v>2800</v>
      </c>
      <c r="G8">
        <v>800</v>
      </c>
      <c r="H8" t="s">
        <v>84</v>
      </c>
      <c r="I8" t="s">
        <v>268</v>
      </c>
    </row>
    <row r="9" spans="1:12" x14ac:dyDescent="0.3">
      <c r="A9" t="s">
        <v>195</v>
      </c>
      <c r="B9" s="18">
        <v>45762</v>
      </c>
      <c r="C9" t="s">
        <v>145</v>
      </c>
      <c r="D9" t="s">
        <v>106</v>
      </c>
      <c r="E9">
        <v>0</v>
      </c>
      <c r="F9">
        <v>0</v>
      </c>
      <c r="G9">
        <v>0</v>
      </c>
      <c r="H9" t="s">
        <v>84</v>
      </c>
      <c r="I9" t="s">
        <v>268</v>
      </c>
    </row>
    <row r="10" spans="1:12" x14ac:dyDescent="0.3">
      <c r="A10" t="s">
        <v>196</v>
      </c>
      <c r="B10" s="18">
        <v>45762</v>
      </c>
      <c r="C10" t="s">
        <v>145</v>
      </c>
      <c r="D10" t="s">
        <v>144</v>
      </c>
      <c r="E10">
        <v>2000</v>
      </c>
      <c r="F10">
        <v>8000</v>
      </c>
      <c r="G10">
        <v>10000</v>
      </c>
      <c r="H10" t="s">
        <v>84</v>
      </c>
      <c r="I10" t="s">
        <v>268</v>
      </c>
    </row>
    <row r="11" spans="1:12" x14ac:dyDescent="0.3">
      <c r="A11" t="s">
        <v>204</v>
      </c>
      <c r="B11" s="18">
        <v>45776</v>
      </c>
      <c r="C11" t="s">
        <v>132</v>
      </c>
      <c r="D11" t="s">
        <v>133</v>
      </c>
      <c r="E11">
        <v>800</v>
      </c>
      <c r="F11">
        <v>3200</v>
      </c>
      <c r="G11">
        <v>4000</v>
      </c>
      <c r="H11" t="s">
        <v>166</v>
      </c>
      <c r="I11" t="s">
        <v>268</v>
      </c>
    </row>
    <row r="12" spans="1:12" x14ac:dyDescent="0.3">
      <c r="A12" t="s">
        <v>192</v>
      </c>
      <c r="B12" s="18">
        <v>45758</v>
      </c>
      <c r="C12" t="s">
        <v>100</v>
      </c>
      <c r="D12" t="s">
        <v>109</v>
      </c>
      <c r="E12">
        <v>0</v>
      </c>
      <c r="F12">
        <v>4200</v>
      </c>
      <c r="G12">
        <v>1800</v>
      </c>
      <c r="H12" t="s">
        <v>84</v>
      </c>
      <c r="I12" t="s">
        <v>268</v>
      </c>
    </row>
    <row r="13" spans="1:12" x14ac:dyDescent="0.3">
      <c r="A13" t="s">
        <v>228</v>
      </c>
      <c r="B13" s="18">
        <v>45854</v>
      </c>
      <c r="C13" t="s">
        <v>100</v>
      </c>
      <c r="D13" t="s">
        <v>91</v>
      </c>
      <c r="E13">
        <v>0</v>
      </c>
      <c r="F13">
        <v>0</v>
      </c>
      <c r="G13">
        <v>1200</v>
      </c>
      <c r="H13" t="s">
        <v>84</v>
      </c>
      <c r="I13" t="s">
        <v>268</v>
      </c>
      <c r="L13" s="14"/>
    </row>
    <row r="14" spans="1:12" x14ac:dyDescent="0.3">
      <c r="A14" t="s">
        <v>218</v>
      </c>
      <c r="B14" s="18">
        <v>45819</v>
      </c>
      <c r="C14" t="s">
        <v>112</v>
      </c>
      <c r="D14" t="s">
        <v>113</v>
      </c>
      <c r="E14">
        <v>0</v>
      </c>
      <c r="F14">
        <v>0</v>
      </c>
      <c r="G14" s="14">
        <v>0</v>
      </c>
      <c r="H14" t="s">
        <v>166</v>
      </c>
      <c r="I14" t="s">
        <v>268</v>
      </c>
    </row>
    <row r="15" spans="1:12" x14ac:dyDescent="0.3">
      <c r="A15" t="s">
        <v>233</v>
      </c>
      <c r="B15" s="18">
        <v>45870</v>
      </c>
      <c r="C15" t="s">
        <v>92</v>
      </c>
      <c r="D15" t="s">
        <v>93</v>
      </c>
      <c r="E15">
        <v>2500</v>
      </c>
      <c r="F15">
        <v>10000</v>
      </c>
      <c r="G15">
        <v>12500</v>
      </c>
      <c r="H15" t="s">
        <v>166</v>
      </c>
      <c r="I15" t="s">
        <v>268</v>
      </c>
    </row>
    <row r="16" spans="1:12" x14ac:dyDescent="0.3">
      <c r="A16" t="s">
        <v>190</v>
      </c>
      <c r="B16" s="18">
        <v>45757</v>
      </c>
      <c r="C16" t="s">
        <v>148</v>
      </c>
      <c r="D16" t="s">
        <v>109</v>
      </c>
      <c r="E16">
        <v>2500</v>
      </c>
      <c r="F16">
        <v>15000</v>
      </c>
      <c r="G16">
        <v>7500</v>
      </c>
      <c r="H16" t="s">
        <v>84</v>
      </c>
      <c r="I16" t="s">
        <v>268</v>
      </c>
    </row>
    <row r="17" spans="1:9" x14ac:dyDescent="0.3">
      <c r="A17" t="s">
        <v>175</v>
      </c>
      <c r="B17" s="18">
        <v>45664</v>
      </c>
      <c r="C17" t="s">
        <v>148</v>
      </c>
      <c r="D17" t="s">
        <v>162</v>
      </c>
      <c r="E17">
        <v>7000</v>
      </c>
      <c r="F17">
        <v>10500</v>
      </c>
      <c r="G17">
        <v>17500</v>
      </c>
      <c r="H17" t="s">
        <v>84</v>
      </c>
      <c r="I17" t="s">
        <v>268</v>
      </c>
    </row>
    <row r="18" spans="1:9" x14ac:dyDescent="0.3">
      <c r="A18" t="s">
        <v>226</v>
      </c>
      <c r="B18" s="18">
        <v>45848</v>
      </c>
      <c r="C18" t="s">
        <v>102</v>
      </c>
      <c r="D18" t="s">
        <v>164</v>
      </c>
      <c r="E18">
        <v>0</v>
      </c>
      <c r="F18">
        <v>0</v>
      </c>
      <c r="G18">
        <v>0</v>
      </c>
      <c r="H18" t="s">
        <v>166</v>
      </c>
      <c r="I18" t="s">
        <v>268</v>
      </c>
    </row>
    <row r="19" spans="1:9" x14ac:dyDescent="0.3">
      <c r="A19" t="s">
        <v>197</v>
      </c>
      <c r="B19" s="18">
        <v>45763</v>
      </c>
      <c r="C19" t="s">
        <v>142</v>
      </c>
      <c r="D19" t="s">
        <v>109</v>
      </c>
      <c r="E19">
        <v>1500</v>
      </c>
      <c r="F19">
        <v>1500</v>
      </c>
      <c r="G19">
        <v>0</v>
      </c>
      <c r="H19" t="s">
        <v>84</v>
      </c>
      <c r="I19" t="s">
        <v>268</v>
      </c>
    </row>
    <row r="20" spans="1:9" x14ac:dyDescent="0.3">
      <c r="A20" t="s">
        <v>179</v>
      </c>
      <c r="B20" s="18">
        <v>45685</v>
      </c>
      <c r="C20" t="s">
        <v>158</v>
      </c>
      <c r="D20" t="s">
        <v>159</v>
      </c>
      <c r="E20">
        <v>2000</v>
      </c>
      <c r="F20">
        <v>8000</v>
      </c>
      <c r="G20">
        <v>10000</v>
      </c>
      <c r="H20" t="s">
        <v>166</v>
      </c>
      <c r="I20" t="s">
        <v>268</v>
      </c>
    </row>
    <row r="21" spans="1:9" x14ac:dyDescent="0.3">
      <c r="A21" t="s">
        <v>219</v>
      </c>
      <c r="B21" s="18">
        <v>45831</v>
      </c>
      <c r="C21" t="s">
        <v>111</v>
      </c>
      <c r="D21" t="s">
        <v>88</v>
      </c>
      <c r="E21">
        <v>0</v>
      </c>
      <c r="F21">
        <v>0</v>
      </c>
      <c r="G21">
        <v>0</v>
      </c>
      <c r="H21" t="s">
        <v>166</v>
      </c>
      <c r="I21" t="s">
        <v>268</v>
      </c>
    </row>
    <row r="22" spans="1:9" x14ac:dyDescent="0.3">
      <c r="A22" t="s">
        <v>215</v>
      </c>
      <c r="B22" s="18">
        <v>45811</v>
      </c>
      <c r="C22" t="s">
        <v>118</v>
      </c>
      <c r="D22" t="s">
        <v>83</v>
      </c>
      <c r="E22">
        <v>1600</v>
      </c>
      <c r="F22">
        <v>2400</v>
      </c>
      <c r="G22">
        <v>4000</v>
      </c>
      <c r="H22" t="s">
        <v>166</v>
      </c>
      <c r="I22" t="s">
        <v>268</v>
      </c>
    </row>
    <row r="23" spans="1:9" x14ac:dyDescent="0.3">
      <c r="A23" t="s">
        <v>208</v>
      </c>
      <c r="B23" s="18">
        <v>45789</v>
      </c>
      <c r="C23" t="s">
        <v>126</v>
      </c>
      <c r="D23" t="s">
        <v>127</v>
      </c>
      <c r="E23">
        <v>2000</v>
      </c>
      <c r="F23">
        <v>8000</v>
      </c>
      <c r="G23">
        <v>10000</v>
      </c>
      <c r="H23" t="s">
        <v>166</v>
      </c>
      <c r="I23" t="s">
        <v>268</v>
      </c>
    </row>
    <row r="24" spans="1:9" x14ac:dyDescent="0.3">
      <c r="A24" t="s">
        <v>210</v>
      </c>
      <c r="B24" s="18">
        <v>45790</v>
      </c>
      <c r="C24" t="s">
        <v>124</v>
      </c>
      <c r="D24" t="s">
        <v>125</v>
      </c>
      <c r="E24">
        <v>0</v>
      </c>
      <c r="F24">
        <v>1050</v>
      </c>
      <c r="G24">
        <v>1050</v>
      </c>
      <c r="H24" t="s">
        <v>166</v>
      </c>
      <c r="I24" t="s">
        <v>268</v>
      </c>
    </row>
    <row r="25" spans="1:9" x14ac:dyDescent="0.3">
      <c r="A25" t="s">
        <v>222</v>
      </c>
      <c r="B25" s="18">
        <v>45842</v>
      </c>
      <c r="C25" t="s">
        <v>105</v>
      </c>
      <c r="D25" t="s">
        <v>106</v>
      </c>
      <c r="E25">
        <v>0</v>
      </c>
      <c r="F25">
        <v>0</v>
      </c>
      <c r="G25">
        <v>6000</v>
      </c>
      <c r="H25" t="s">
        <v>165</v>
      </c>
      <c r="I25" t="s">
        <v>268</v>
      </c>
    </row>
    <row r="26" spans="1:9" x14ac:dyDescent="0.3">
      <c r="A26" t="s">
        <v>223</v>
      </c>
      <c r="B26" s="18">
        <v>45842</v>
      </c>
      <c r="C26" t="s">
        <v>105</v>
      </c>
      <c r="D26" t="s">
        <v>107</v>
      </c>
      <c r="E26">
        <v>800</v>
      </c>
      <c r="G26">
        <v>3200</v>
      </c>
      <c r="H26" t="s">
        <v>165</v>
      </c>
      <c r="I26" t="s">
        <v>268</v>
      </c>
    </row>
    <row r="27" spans="1:9" x14ac:dyDescent="0.3">
      <c r="A27" t="s">
        <v>224</v>
      </c>
      <c r="B27" s="18">
        <v>45842</v>
      </c>
      <c r="C27" t="s">
        <v>105</v>
      </c>
      <c r="D27" t="s">
        <v>108</v>
      </c>
      <c r="E27">
        <v>0</v>
      </c>
      <c r="F27">
        <v>0</v>
      </c>
      <c r="G27">
        <v>0</v>
      </c>
      <c r="H27" t="s">
        <v>165</v>
      </c>
      <c r="I27" t="s">
        <v>268</v>
      </c>
    </row>
    <row r="28" spans="1:9" x14ac:dyDescent="0.3">
      <c r="A28" t="s">
        <v>203</v>
      </c>
      <c r="B28" s="18">
        <v>45775</v>
      </c>
      <c r="C28" t="s">
        <v>134</v>
      </c>
      <c r="D28" t="s">
        <v>135</v>
      </c>
      <c r="E28" t="s">
        <v>136</v>
      </c>
      <c r="F28" t="s">
        <v>137</v>
      </c>
      <c r="G28" t="s">
        <v>138</v>
      </c>
      <c r="H28" t="s">
        <v>166</v>
      </c>
      <c r="I28" t="s">
        <v>268</v>
      </c>
    </row>
    <row r="29" spans="1:9" x14ac:dyDescent="0.3">
      <c r="A29" t="s">
        <v>205</v>
      </c>
      <c r="B29" s="18">
        <v>45779</v>
      </c>
      <c r="C29" t="s">
        <v>131</v>
      </c>
      <c r="D29" t="s">
        <v>109</v>
      </c>
      <c r="E29">
        <v>0</v>
      </c>
      <c r="F29">
        <v>1500</v>
      </c>
      <c r="G29">
        <v>0</v>
      </c>
      <c r="H29" t="s">
        <v>166</v>
      </c>
      <c r="I29" t="s">
        <v>268</v>
      </c>
    </row>
    <row r="30" spans="1:9" x14ac:dyDescent="0.3">
      <c r="A30" t="s">
        <v>220</v>
      </c>
      <c r="B30" s="18">
        <v>45839</v>
      </c>
      <c r="C30" t="s">
        <v>94</v>
      </c>
      <c r="D30" t="s">
        <v>109</v>
      </c>
      <c r="E30">
        <v>400</v>
      </c>
      <c r="F30">
        <v>2800</v>
      </c>
      <c r="G30">
        <v>800</v>
      </c>
      <c r="H30" t="s">
        <v>84</v>
      </c>
      <c r="I30" t="s">
        <v>268</v>
      </c>
    </row>
    <row r="31" spans="1:9" x14ac:dyDescent="0.3">
      <c r="A31" t="s">
        <v>232</v>
      </c>
      <c r="B31" s="18">
        <v>45868</v>
      </c>
      <c r="C31" t="s">
        <v>94</v>
      </c>
      <c r="D31" t="s">
        <v>95</v>
      </c>
      <c r="E31">
        <v>0</v>
      </c>
      <c r="F31">
        <v>0</v>
      </c>
      <c r="G31">
        <v>0</v>
      </c>
      <c r="H31" t="s">
        <v>166</v>
      </c>
      <c r="I31" t="s">
        <v>268</v>
      </c>
    </row>
    <row r="32" spans="1:9" x14ac:dyDescent="0.3">
      <c r="A32" t="s">
        <v>229</v>
      </c>
      <c r="B32" s="18">
        <v>45856</v>
      </c>
      <c r="C32" t="s">
        <v>99</v>
      </c>
      <c r="D32" t="s">
        <v>88</v>
      </c>
      <c r="E32">
        <v>0</v>
      </c>
      <c r="F32">
        <v>0</v>
      </c>
      <c r="G32">
        <v>0</v>
      </c>
      <c r="H32" t="s">
        <v>166</v>
      </c>
      <c r="I32" t="s">
        <v>268</v>
      </c>
    </row>
    <row r="33" spans="1:9" x14ac:dyDescent="0.3">
      <c r="A33" t="s">
        <v>206</v>
      </c>
      <c r="B33" s="18">
        <v>45786</v>
      </c>
      <c r="C33" t="s">
        <v>116</v>
      </c>
      <c r="D33" t="s">
        <v>93</v>
      </c>
      <c r="E33">
        <v>2160</v>
      </c>
      <c r="F33">
        <v>8640</v>
      </c>
      <c r="G33">
        <v>10800</v>
      </c>
      <c r="H33" t="s">
        <v>84</v>
      </c>
      <c r="I33" t="s">
        <v>268</v>
      </c>
    </row>
    <row r="34" spans="1:9" x14ac:dyDescent="0.3">
      <c r="A34" t="s">
        <v>216</v>
      </c>
      <c r="B34" s="18">
        <v>45817</v>
      </c>
      <c r="C34" t="s">
        <v>116</v>
      </c>
      <c r="D34" t="s">
        <v>117</v>
      </c>
      <c r="E34">
        <v>1100</v>
      </c>
      <c r="F34">
        <v>4400</v>
      </c>
      <c r="G34">
        <v>5500</v>
      </c>
      <c r="H34" t="s">
        <v>84</v>
      </c>
      <c r="I34" t="s">
        <v>268</v>
      </c>
    </row>
    <row r="35" spans="1:9" x14ac:dyDescent="0.3">
      <c r="A35" t="s">
        <v>176</v>
      </c>
      <c r="B35" s="18">
        <v>45672</v>
      </c>
      <c r="C35" t="s">
        <v>85</v>
      </c>
      <c r="D35" t="s">
        <v>93</v>
      </c>
      <c r="E35">
        <v>5000</v>
      </c>
      <c r="F35">
        <v>15000</v>
      </c>
      <c r="G35">
        <v>15000</v>
      </c>
      <c r="H35" t="s">
        <v>84</v>
      </c>
      <c r="I35" t="s">
        <v>268</v>
      </c>
    </row>
    <row r="36" spans="1:9" x14ac:dyDescent="0.3">
      <c r="A36" t="s">
        <v>237</v>
      </c>
      <c r="B36" s="18">
        <v>45910</v>
      </c>
      <c r="C36" t="s">
        <v>85</v>
      </c>
      <c r="D36" t="s">
        <v>86</v>
      </c>
      <c r="E36">
        <v>0</v>
      </c>
      <c r="F36">
        <v>3000</v>
      </c>
      <c r="G36">
        <v>0</v>
      </c>
      <c r="H36" t="s">
        <v>84</v>
      </c>
      <c r="I36" t="s">
        <v>268</v>
      </c>
    </row>
    <row r="37" spans="1:9" x14ac:dyDescent="0.3">
      <c r="A37" t="s">
        <v>185</v>
      </c>
      <c r="B37" s="18">
        <v>45747</v>
      </c>
      <c r="C37" t="s">
        <v>153</v>
      </c>
      <c r="D37" t="s">
        <v>154</v>
      </c>
      <c r="E37">
        <v>0</v>
      </c>
      <c r="F37">
        <v>0</v>
      </c>
      <c r="G37">
        <v>1000</v>
      </c>
      <c r="H37" t="s">
        <v>84</v>
      </c>
      <c r="I37" t="s">
        <v>268</v>
      </c>
    </row>
    <row r="38" spans="1:9" x14ac:dyDescent="0.3">
      <c r="A38" t="s">
        <v>180</v>
      </c>
      <c r="B38" s="18">
        <v>45709</v>
      </c>
      <c r="C38" t="s">
        <v>153</v>
      </c>
      <c r="D38" t="s">
        <v>147</v>
      </c>
      <c r="E38">
        <v>2500</v>
      </c>
      <c r="F38">
        <v>10000</v>
      </c>
      <c r="G38">
        <v>12500</v>
      </c>
      <c r="H38" t="s">
        <v>166</v>
      </c>
      <c r="I38" t="s">
        <v>268</v>
      </c>
    </row>
    <row r="39" spans="1:9" x14ac:dyDescent="0.3">
      <c r="A39" t="s">
        <v>236</v>
      </c>
      <c r="B39" s="18">
        <v>45910</v>
      </c>
      <c r="C39" t="s">
        <v>87</v>
      </c>
      <c r="D39" t="s">
        <v>88</v>
      </c>
      <c r="E39">
        <v>0</v>
      </c>
      <c r="F39">
        <v>0</v>
      </c>
      <c r="G39">
        <v>0</v>
      </c>
      <c r="H39" t="s">
        <v>165</v>
      </c>
      <c r="I39" t="s">
        <v>268</v>
      </c>
    </row>
    <row r="40" spans="1:9" x14ac:dyDescent="0.3">
      <c r="A40" t="s">
        <v>191</v>
      </c>
      <c r="B40" s="18">
        <v>45757</v>
      </c>
      <c r="C40" t="s">
        <v>96</v>
      </c>
      <c r="D40" t="s">
        <v>127</v>
      </c>
      <c r="E40">
        <v>1000</v>
      </c>
      <c r="F40">
        <v>4000</v>
      </c>
      <c r="G40">
        <v>5000</v>
      </c>
      <c r="H40" t="s">
        <v>84</v>
      </c>
      <c r="I40" t="s">
        <v>268</v>
      </c>
    </row>
    <row r="41" spans="1:9" x14ac:dyDescent="0.3">
      <c r="A41" t="s">
        <v>202</v>
      </c>
      <c r="B41" s="18">
        <v>45775</v>
      </c>
      <c r="C41" t="s">
        <v>96</v>
      </c>
      <c r="D41" t="s">
        <v>133</v>
      </c>
      <c r="E41">
        <v>800</v>
      </c>
      <c r="F41">
        <v>3200</v>
      </c>
      <c r="G41">
        <v>4000</v>
      </c>
      <c r="H41" t="s">
        <v>84</v>
      </c>
      <c r="I41" t="s">
        <v>268</v>
      </c>
    </row>
    <row r="42" spans="1:9" x14ac:dyDescent="0.3">
      <c r="A42" t="s">
        <v>207</v>
      </c>
      <c r="B42" s="18">
        <v>45786</v>
      </c>
      <c r="C42" t="s">
        <v>96</v>
      </c>
      <c r="D42" t="s">
        <v>128</v>
      </c>
      <c r="E42">
        <v>0</v>
      </c>
      <c r="F42">
        <v>0</v>
      </c>
      <c r="G42">
        <v>1500</v>
      </c>
      <c r="H42" t="s">
        <v>84</v>
      </c>
      <c r="I42" t="s">
        <v>268</v>
      </c>
    </row>
    <row r="43" spans="1:9" x14ac:dyDescent="0.3">
      <c r="A43" t="s">
        <v>227</v>
      </c>
      <c r="B43" s="18">
        <v>45852</v>
      </c>
      <c r="C43" t="s">
        <v>96</v>
      </c>
      <c r="D43" t="s">
        <v>101</v>
      </c>
      <c r="E43">
        <v>0</v>
      </c>
      <c r="F43">
        <v>0</v>
      </c>
      <c r="G43">
        <v>1000</v>
      </c>
      <c r="H43" t="s">
        <v>84</v>
      </c>
      <c r="I43" t="s">
        <v>268</v>
      </c>
    </row>
    <row r="44" spans="1:9" x14ac:dyDescent="0.3">
      <c r="A44" t="s">
        <v>230</v>
      </c>
      <c r="B44" s="18">
        <v>45860</v>
      </c>
      <c r="C44" t="s">
        <v>96</v>
      </c>
      <c r="D44" t="s">
        <v>97</v>
      </c>
      <c r="E44">
        <v>0</v>
      </c>
      <c r="F44">
        <v>0</v>
      </c>
      <c r="G44">
        <v>0</v>
      </c>
      <c r="H44" t="s">
        <v>84</v>
      </c>
      <c r="I44" t="s">
        <v>268</v>
      </c>
    </row>
    <row r="45" spans="1:9" x14ac:dyDescent="0.3">
      <c r="A45" t="s">
        <v>231</v>
      </c>
      <c r="B45" s="18">
        <v>45860</v>
      </c>
      <c r="C45" t="s">
        <v>96</v>
      </c>
      <c r="D45" t="s">
        <v>98</v>
      </c>
      <c r="E45">
        <v>0</v>
      </c>
      <c r="F45">
        <v>0</v>
      </c>
      <c r="G45">
        <v>0</v>
      </c>
      <c r="H45" t="s">
        <v>84</v>
      </c>
      <c r="I45" t="s">
        <v>268</v>
      </c>
    </row>
    <row r="46" spans="1:9" x14ac:dyDescent="0.3">
      <c r="A46" t="s">
        <v>183</v>
      </c>
      <c r="B46" s="18">
        <v>45742</v>
      </c>
      <c r="C46" t="s">
        <v>155</v>
      </c>
      <c r="D46" t="s">
        <v>156</v>
      </c>
      <c r="E46">
        <v>2800</v>
      </c>
      <c r="F46">
        <v>11200</v>
      </c>
      <c r="G46">
        <v>14000</v>
      </c>
      <c r="H46" t="s">
        <v>84</v>
      </c>
      <c r="I46" t="s">
        <v>268</v>
      </c>
    </row>
    <row r="47" spans="1:9" x14ac:dyDescent="0.3">
      <c r="A47" t="s">
        <v>201</v>
      </c>
      <c r="B47" s="18">
        <v>45771</v>
      </c>
      <c r="C47" t="s">
        <v>139</v>
      </c>
      <c r="D47" t="s">
        <v>108</v>
      </c>
      <c r="E47">
        <v>2800</v>
      </c>
      <c r="F47">
        <v>11200</v>
      </c>
      <c r="G47">
        <v>14000</v>
      </c>
      <c r="H47" t="s">
        <v>84</v>
      </c>
      <c r="I47" t="s">
        <v>268</v>
      </c>
    </row>
    <row r="48" spans="1:9" x14ac:dyDescent="0.3">
      <c r="A48" t="s">
        <v>184</v>
      </c>
      <c r="B48" s="18">
        <v>45742</v>
      </c>
      <c r="C48" t="s">
        <v>240</v>
      </c>
      <c r="D48" t="s">
        <v>147</v>
      </c>
      <c r="E48">
        <v>2300</v>
      </c>
      <c r="F48">
        <v>9200</v>
      </c>
      <c r="G48">
        <v>11500</v>
      </c>
      <c r="H48" t="s">
        <v>166</v>
      </c>
      <c r="I48" t="s">
        <v>268</v>
      </c>
    </row>
    <row r="49" spans="1:9" x14ac:dyDescent="0.3">
      <c r="A49" t="s">
        <v>177</v>
      </c>
      <c r="B49" s="18">
        <v>45672</v>
      </c>
      <c r="C49" t="s">
        <v>240</v>
      </c>
      <c r="D49" t="s">
        <v>161</v>
      </c>
      <c r="F49">
        <v>7500</v>
      </c>
      <c r="G49">
        <v>7500</v>
      </c>
      <c r="H49" t="s">
        <v>84</v>
      </c>
      <c r="I49" t="s">
        <v>268</v>
      </c>
    </row>
    <row r="50" spans="1:9" x14ac:dyDescent="0.3">
      <c r="A50" t="s">
        <v>209</v>
      </c>
      <c r="B50" s="18">
        <v>45790</v>
      </c>
      <c r="C50" t="s">
        <v>90</v>
      </c>
      <c r="D50" t="s">
        <v>125</v>
      </c>
      <c r="E50">
        <v>0</v>
      </c>
      <c r="F50">
        <v>1000</v>
      </c>
      <c r="G50">
        <v>1000</v>
      </c>
      <c r="H50" t="s">
        <v>84</v>
      </c>
      <c r="I50" t="s">
        <v>268</v>
      </c>
    </row>
    <row r="51" spans="1:9" x14ac:dyDescent="0.3">
      <c r="A51" t="s">
        <v>234</v>
      </c>
      <c r="B51" s="18">
        <v>45888</v>
      </c>
      <c r="C51" t="s">
        <v>90</v>
      </c>
      <c r="D51" t="s">
        <v>91</v>
      </c>
      <c r="E51">
        <v>0</v>
      </c>
      <c r="F51">
        <v>0</v>
      </c>
      <c r="G51">
        <v>1000</v>
      </c>
      <c r="H51" t="s">
        <v>84</v>
      </c>
      <c r="I51" t="s">
        <v>268</v>
      </c>
    </row>
    <row r="52" spans="1:9" x14ac:dyDescent="0.3">
      <c r="A52" t="s">
        <v>225</v>
      </c>
      <c r="B52" s="18">
        <v>45847</v>
      </c>
      <c r="C52" t="s">
        <v>103</v>
      </c>
      <c r="D52" t="s">
        <v>104</v>
      </c>
      <c r="E52">
        <v>0</v>
      </c>
      <c r="F52">
        <v>750</v>
      </c>
      <c r="G52">
        <v>750</v>
      </c>
      <c r="H52" t="s">
        <v>84</v>
      </c>
      <c r="I52" t="s">
        <v>268</v>
      </c>
    </row>
    <row r="53" spans="1:9" x14ac:dyDescent="0.3">
      <c r="A53" t="s">
        <v>221</v>
      </c>
      <c r="B53" s="18">
        <v>45839</v>
      </c>
      <c r="C53" t="s">
        <v>110</v>
      </c>
      <c r="D53" t="s">
        <v>106</v>
      </c>
      <c r="E53">
        <v>0</v>
      </c>
      <c r="F53">
        <v>0</v>
      </c>
      <c r="G53">
        <v>10800</v>
      </c>
      <c r="H53" t="s">
        <v>166</v>
      </c>
      <c r="I53" t="s">
        <v>268</v>
      </c>
    </row>
    <row r="54" spans="1:9" x14ac:dyDescent="0.3">
      <c r="A54" t="s">
        <v>212</v>
      </c>
      <c r="B54" s="18">
        <v>45792</v>
      </c>
      <c r="C54" t="s">
        <v>119</v>
      </c>
      <c r="D54" t="s">
        <v>120</v>
      </c>
      <c r="E54">
        <v>0</v>
      </c>
      <c r="F54">
        <v>0</v>
      </c>
      <c r="G54">
        <v>0</v>
      </c>
      <c r="H54" t="s">
        <v>166</v>
      </c>
      <c r="I54" t="s">
        <v>268</v>
      </c>
    </row>
    <row r="55" spans="1:9" x14ac:dyDescent="0.3">
      <c r="A55" t="s">
        <v>213</v>
      </c>
      <c r="B55" s="18">
        <v>45792</v>
      </c>
      <c r="C55" t="s">
        <v>119</v>
      </c>
      <c r="D55" t="s">
        <v>120</v>
      </c>
      <c r="E55">
        <v>0</v>
      </c>
      <c r="F55">
        <v>0</v>
      </c>
      <c r="G55">
        <v>0</v>
      </c>
      <c r="H55" t="s">
        <v>166</v>
      </c>
      <c r="I55" t="s">
        <v>268</v>
      </c>
    </row>
    <row r="56" spans="1:9" x14ac:dyDescent="0.3">
      <c r="A56" t="s">
        <v>217</v>
      </c>
      <c r="B56" s="18">
        <v>45819</v>
      </c>
      <c r="C56" t="s">
        <v>114</v>
      </c>
      <c r="D56" t="s">
        <v>115</v>
      </c>
      <c r="E56">
        <v>1000</v>
      </c>
      <c r="F56">
        <v>1500</v>
      </c>
      <c r="G56">
        <v>2500</v>
      </c>
      <c r="H56" t="s">
        <v>84</v>
      </c>
      <c r="I56" t="s">
        <v>268</v>
      </c>
    </row>
    <row r="57" spans="1:9" x14ac:dyDescent="0.3">
      <c r="A57" t="s">
        <v>269</v>
      </c>
      <c r="B57" s="18">
        <v>45658</v>
      </c>
      <c r="C57" t="s">
        <v>114</v>
      </c>
      <c r="D57" t="s">
        <v>147</v>
      </c>
      <c r="E57">
        <v>2500</v>
      </c>
      <c r="F57">
        <v>10000</v>
      </c>
      <c r="G57">
        <v>12500</v>
      </c>
      <c r="H57" t="s">
        <v>84</v>
      </c>
      <c r="I57" t="s">
        <v>268</v>
      </c>
    </row>
    <row r="58" spans="1:9" x14ac:dyDescent="0.3">
      <c r="A58" t="s">
        <v>186</v>
      </c>
      <c r="B58" s="18">
        <v>45750</v>
      </c>
      <c r="C58" t="s">
        <v>150</v>
      </c>
      <c r="D58" t="s">
        <v>151</v>
      </c>
      <c r="E58">
        <v>0</v>
      </c>
      <c r="F58">
        <v>0</v>
      </c>
      <c r="G58">
        <v>0</v>
      </c>
      <c r="H58" t="s">
        <v>166</v>
      </c>
      <c r="I58" t="s">
        <v>268</v>
      </c>
    </row>
    <row r="59" spans="1:9" x14ac:dyDescent="0.3">
      <c r="A59" t="s">
        <v>187</v>
      </c>
      <c r="B59" s="18">
        <v>45750</v>
      </c>
      <c r="C59" t="s">
        <v>143</v>
      </c>
      <c r="D59" t="s">
        <v>152</v>
      </c>
      <c r="E59">
        <v>0</v>
      </c>
      <c r="F59">
        <v>0</v>
      </c>
      <c r="G59">
        <v>0</v>
      </c>
      <c r="H59" t="s">
        <v>166</v>
      </c>
      <c r="I59" t="s">
        <v>268</v>
      </c>
    </row>
    <row r="60" spans="1:9" x14ac:dyDescent="0.3">
      <c r="A60" t="s">
        <v>198</v>
      </c>
      <c r="B60" s="18">
        <v>45763</v>
      </c>
      <c r="C60" t="s">
        <v>143</v>
      </c>
      <c r="D60" t="s">
        <v>144</v>
      </c>
      <c r="E60">
        <v>0</v>
      </c>
      <c r="F60">
        <v>0</v>
      </c>
      <c r="G60">
        <v>0</v>
      </c>
      <c r="H60" t="s">
        <v>84</v>
      </c>
      <c r="I60" t="s">
        <v>268</v>
      </c>
    </row>
    <row r="61" spans="1:9" x14ac:dyDescent="0.3">
      <c r="A61" t="s">
        <v>199</v>
      </c>
      <c r="B61" s="18">
        <v>45763</v>
      </c>
      <c r="C61" t="s">
        <v>143</v>
      </c>
      <c r="D61" t="s">
        <v>141</v>
      </c>
      <c r="E61">
        <v>0</v>
      </c>
      <c r="F61">
        <v>0</v>
      </c>
      <c r="G61">
        <v>0</v>
      </c>
      <c r="H61" t="s">
        <v>84</v>
      </c>
      <c r="I61" t="s">
        <v>268</v>
      </c>
    </row>
    <row r="62" spans="1:9" x14ac:dyDescent="0.3">
      <c r="A62" t="s">
        <v>200</v>
      </c>
      <c r="B62" s="18">
        <v>45764</v>
      </c>
      <c r="C62" t="s">
        <v>140</v>
      </c>
      <c r="D62" t="s">
        <v>141</v>
      </c>
      <c r="E62">
        <v>0</v>
      </c>
      <c r="F62">
        <v>0</v>
      </c>
      <c r="G62">
        <v>0</v>
      </c>
      <c r="H62" t="s">
        <v>166</v>
      </c>
      <c r="I62" t="s">
        <v>268</v>
      </c>
    </row>
    <row r="63" spans="1:9" x14ac:dyDescent="0.3">
      <c r="A63" t="s">
        <v>238</v>
      </c>
      <c r="B63" s="18">
        <v>45912</v>
      </c>
      <c r="C63" t="s">
        <v>163</v>
      </c>
      <c r="D63" t="s">
        <v>83</v>
      </c>
      <c r="E63">
        <v>900</v>
      </c>
      <c r="F63">
        <v>3600</v>
      </c>
      <c r="G63">
        <v>4500</v>
      </c>
      <c r="H63" t="s">
        <v>84</v>
      </c>
      <c r="I63" t="s">
        <v>268</v>
      </c>
    </row>
    <row r="64" spans="1:9" x14ac:dyDescent="0.3">
      <c r="A64" t="s">
        <v>193</v>
      </c>
      <c r="B64" s="18">
        <v>45758</v>
      </c>
      <c r="C64" t="s">
        <v>146</v>
      </c>
      <c r="D64" t="s">
        <v>147</v>
      </c>
      <c r="E64">
        <v>2000</v>
      </c>
      <c r="F64">
        <v>8000</v>
      </c>
      <c r="G64">
        <v>10000</v>
      </c>
      <c r="H64" t="s">
        <v>166</v>
      </c>
      <c r="I64" t="s">
        <v>268</v>
      </c>
    </row>
    <row r="65" spans="1:9" x14ac:dyDescent="0.3">
      <c r="A65" t="s">
        <v>214</v>
      </c>
      <c r="B65" s="18">
        <v>45792</v>
      </c>
      <c r="C65" t="s">
        <v>121</v>
      </c>
      <c r="D65" t="s">
        <v>122</v>
      </c>
      <c r="E65">
        <v>0</v>
      </c>
      <c r="F65">
        <v>0</v>
      </c>
      <c r="G65">
        <v>0</v>
      </c>
      <c r="H65" t="s">
        <v>166</v>
      </c>
      <c r="I65" t="s">
        <v>268</v>
      </c>
    </row>
    <row r="66" spans="1:9" x14ac:dyDescent="0.3">
      <c r="A66" t="s">
        <v>181</v>
      </c>
      <c r="B66" s="18">
        <v>45713</v>
      </c>
      <c r="C66" t="s">
        <v>121</v>
      </c>
      <c r="D66" t="s">
        <v>157</v>
      </c>
      <c r="E66">
        <v>0</v>
      </c>
      <c r="F66">
        <v>0</v>
      </c>
      <c r="G66">
        <v>0</v>
      </c>
      <c r="H66" t="s">
        <v>166</v>
      </c>
      <c r="I66" t="s">
        <v>268</v>
      </c>
    </row>
    <row r="67" spans="1:9" x14ac:dyDescent="0.3">
      <c r="A67" t="s">
        <v>182</v>
      </c>
      <c r="B67" s="18">
        <v>45713</v>
      </c>
      <c r="C67" t="s">
        <v>121</v>
      </c>
      <c r="D67" t="s">
        <v>93</v>
      </c>
      <c r="E67">
        <v>2500</v>
      </c>
      <c r="F67">
        <v>10000</v>
      </c>
      <c r="G67">
        <v>12500</v>
      </c>
      <c r="H67" t="s">
        <v>166</v>
      </c>
      <c r="I67" t="s">
        <v>268</v>
      </c>
    </row>
    <row r="68" spans="1:9" x14ac:dyDescent="0.3">
      <c r="B68" s="18">
        <v>45658</v>
      </c>
      <c r="C68" t="s">
        <v>123</v>
      </c>
      <c r="D68" t="s">
        <v>154</v>
      </c>
      <c r="E68">
        <v>0</v>
      </c>
      <c r="F68">
        <v>2000</v>
      </c>
      <c r="G68">
        <v>2000</v>
      </c>
      <c r="H68" t="s">
        <v>84</v>
      </c>
      <c r="I68" t="s">
        <v>268</v>
      </c>
    </row>
    <row r="69" spans="1:9" x14ac:dyDescent="0.3">
      <c r="B69" s="18">
        <v>45658</v>
      </c>
      <c r="C69" s="18" t="s">
        <v>114</v>
      </c>
      <c r="D69" t="s">
        <v>147</v>
      </c>
      <c r="E69">
        <v>2500</v>
      </c>
      <c r="F69">
        <v>10000</v>
      </c>
      <c r="G69">
        <v>12500</v>
      </c>
      <c r="H69" t="s">
        <v>84</v>
      </c>
      <c r="I69" t="s">
        <v>268</v>
      </c>
    </row>
    <row r="70" spans="1:9" x14ac:dyDescent="0.3">
      <c r="B70" s="18">
        <v>45657</v>
      </c>
      <c r="C70" t="s">
        <v>270</v>
      </c>
      <c r="D70" t="s">
        <v>147</v>
      </c>
      <c r="E70">
        <v>5200</v>
      </c>
      <c r="F70">
        <v>7800</v>
      </c>
      <c r="G70">
        <v>13000</v>
      </c>
      <c r="H70" t="s">
        <v>84</v>
      </c>
      <c r="I70" t="s">
        <v>268</v>
      </c>
    </row>
    <row r="71" spans="1:9" x14ac:dyDescent="0.3">
      <c r="B71" s="18">
        <v>45658</v>
      </c>
      <c r="C71" t="s">
        <v>153</v>
      </c>
      <c r="D71" t="s">
        <v>273</v>
      </c>
      <c r="E71">
        <v>2400</v>
      </c>
      <c r="F71">
        <v>3000</v>
      </c>
      <c r="G71">
        <v>3000</v>
      </c>
      <c r="H71" t="s">
        <v>84</v>
      </c>
      <c r="I71" t="s">
        <v>268</v>
      </c>
    </row>
    <row r="72" spans="1:9" x14ac:dyDescent="0.3">
      <c r="B72" s="18">
        <v>45658</v>
      </c>
      <c r="C72" t="s">
        <v>96</v>
      </c>
      <c r="D72" t="s">
        <v>272</v>
      </c>
      <c r="E72">
        <v>1000</v>
      </c>
      <c r="F72">
        <v>4000</v>
      </c>
      <c r="G72">
        <v>5000</v>
      </c>
      <c r="H72" t="s">
        <v>84</v>
      </c>
      <c r="I72" t="s">
        <v>268</v>
      </c>
    </row>
    <row r="73" spans="1:9" x14ac:dyDescent="0.3">
      <c r="B73" s="18">
        <v>45658</v>
      </c>
      <c r="C73" t="s">
        <v>100</v>
      </c>
      <c r="D73" t="s">
        <v>274</v>
      </c>
      <c r="E73">
        <v>0</v>
      </c>
      <c r="F73">
        <v>4000</v>
      </c>
      <c r="G73">
        <v>4000</v>
      </c>
      <c r="H73" t="s">
        <v>84</v>
      </c>
      <c r="I73" t="s">
        <v>268</v>
      </c>
    </row>
  </sheetData>
  <autoFilter ref="A1:H1" xr:uid="{53D97468-30D9-4AD7-950C-2CAB971251D8}">
    <sortState xmlns:xlrd2="http://schemas.microsoft.com/office/spreadsheetml/2017/richdata2" ref="A2:H67">
      <sortCondition ref="C1"/>
    </sortState>
  </autoFilter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C876-A8BB-4A6A-9E5A-7439F658326D}">
  <dimension ref="A1:L40"/>
  <sheetViews>
    <sheetView workbookViewId="0">
      <selection activeCell="L21" sqref="L21"/>
    </sheetView>
  </sheetViews>
  <sheetFormatPr defaultRowHeight="13.8" x14ac:dyDescent="0.3"/>
  <cols>
    <col min="1" max="1" width="14.109375" style="3" bestFit="1" customWidth="1"/>
    <col min="2" max="2" width="27.33203125" style="3" customWidth="1"/>
    <col min="3" max="3" width="16.88671875" style="3" bestFit="1" customWidth="1"/>
    <col min="4" max="4" width="8.21875" style="3" bestFit="1" customWidth="1"/>
    <col min="5" max="5" width="14.5546875" style="3" bestFit="1" customWidth="1"/>
    <col min="6" max="6" width="21.5546875" style="3" bestFit="1" customWidth="1"/>
    <col min="7" max="7" width="21.109375" style="3" bestFit="1" customWidth="1"/>
    <col min="8" max="8" width="12.6640625" style="3" bestFit="1" customWidth="1"/>
    <col min="9" max="9" width="13.33203125" style="3" bestFit="1" customWidth="1"/>
    <col min="10" max="10" width="9.6640625" style="3" bestFit="1" customWidth="1"/>
    <col min="11" max="11" width="10.6640625" style="3" customWidth="1"/>
    <col min="12" max="12" width="82" style="3" bestFit="1" customWidth="1"/>
    <col min="13" max="16384" width="8.88671875" style="3"/>
  </cols>
  <sheetData>
    <row r="1" spans="1:12" ht="50.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81</v>
      </c>
      <c r="K1" s="16" t="s">
        <v>82</v>
      </c>
      <c r="L1" s="12" t="s">
        <v>59</v>
      </c>
    </row>
    <row r="2" spans="1:12" x14ac:dyDescent="0.3">
      <c r="A2" s="4">
        <v>45839</v>
      </c>
      <c r="B2" s="5" t="s">
        <v>9</v>
      </c>
      <c r="C2" s="6" t="s">
        <v>10</v>
      </c>
      <c r="D2" s="6" t="s">
        <v>11</v>
      </c>
      <c r="E2" s="7">
        <v>45809</v>
      </c>
      <c r="F2" s="6" t="s">
        <v>12</v>
      </c>
      <c r="G2" s="6" t="s">
        <v>13</v>
      </c>
      <c r="H2" s="8"/>
      <c r="I2" s="9">
        <v>100.71</v>
      </c>
      <c r="J2" s="17" t="str">
        <f>IF(H2&lt;&gt;0,"Entrada","Saída")</f>
        <v>Saída</v>
      </c>
      <c r="K2" s="17">
        <f>IF(H2&lt;&gt;0,H2,I2)</f>
        <v>100.71</v>
      </c>
      <c r="L2" s="12" t="s">
        <v>62</v>
      </c>
    </row>
    <row r="3" spans="1:12" x14ac:dyDescent="0.3">
      <c r="A3" s="4">
        <v>45839</v>
      </c>
      <c r="B3" s="5" t="s">
        <v>16</v>
      </c>
      <c r="C3" s="6" t="s">
        <v>10</v>
      </c>
      <c r="D3" s="6" t="s">
        <v>11</v>
      </c>
      <c r="E3" s="7">
        <v>45809</v>
      </c>
      <c r="F3" s="6" t="s">
        <v>17</v>
      </c>
      <c r="G3" s="6" t="s">
        <v>74</v>
      </c>
      <c r="H3" s="8">
        <v>30.49</v>
      </c>
      <c r="I3" s="9"/>
      <c r="J3" s="17" t="str">
        <f t="shared" ref="J3:J36" si="0">IF(H3&lt;&gt;0,"Entrada","Saída")</f>
        <v>Entrada</v>
      </c>
      <c r="K3" s="17">
        <f t="shared" ref="K3:K36" si="1">IF(H3&lt;&gt;0,H3,I3)</f>
        <v>30.49</v>
      </c>
      <c r="L3" s="12" t="s">
        <v>63</v>
      </c>
    </row>
    <row r="4" spans="1:12" x14ac:dyDescent="0.3">
      <c r="A4" s="4">
        <v>45839</v>
      </c>
      <c r="B4" s="5" t="s">
        <v>14</v>
      </c>
      <c r="C4" s="6" t="s">
        <v>10</v>
      </c>
      <c r="D4" s="6" t="s">
        <v>11</v>
      </c>
      <c r="E4" s="7">
        <v>45809</v>
      </c>
      <c r="F4" s="6" t="s">
        <v>15</v>
      </c>
      <c r="G4" s="6" t="s">
        <v>72</v>
      </c>
      <c r="H4" s="8">
        <v>1500</v>
      </c>
      <c r="I4" s="9"/>
      <c r="J4" s="17" t="str">
        <f t="shared" si="0"/>
        <v>Entrada</v>
      </c>
      <c r="K4" s="17">
        <f t="shared" si="1"/>
        <v>1500</v>
      </c>
      <c r="L4" s="12" t="s">
        <v>64</v>
      </c>
    </row>
    <row r="5" spans="1:12" x14ac:dyDescent="0.3">
      <c r="A5" s="4">
        <v>45841</v>
      </c>
      <c r="B5" s="5" t="s">
        <v>18</v>
      </c>
      <c r="C5" s="6" t="s">
        <v>10</v>
      </c>
      <c r="D5" s="6" t="s">
        <v>11</v>
      </c>
      <c r="E5" s="7">
        <v>45809</v>
      </c>
      <c r="F5" s="6" t="s">
        <v>12</v>
      </c>
      <c r="G5" s="6" t="s">
        <v>19</v>
      </c>
      <c r="H5" s="8"/>
      <c r="I5" s="9">
        <v>575</v>
      </c>
      <c r="J5" s="17" t="str">
        <f t="shared" si="0"/>
        <v>Saída</v>
      </c>
      <c r="K5" s="17">
        <f t="shared" si="1"/>
        <v>575</v>
      </c>
      <c r="L5" s="12" t="s">
        <v>65</v>
      </c>
    </row>
    <row r="6" spans="1:12" x14ac:dyDescent="0.3">
      <c r="A6" s="4">
        <v>45841</v>
      </c>
      <c r="B6" s="5" t="s">
        <v>20</v>
      </c>
      <c r="C6" s="6" t="s">
        <v>21</v>
      </c>
      <c r="D6" s="6" t="s">
        <v>11</v>
      </c>
      <c r="E6" s="7">
        <v>45809</v>
      </c>
      <c r="F6" s="6" t="s">
        <v>78</v>
      </c>
      <c r="G6" s="6" t="s">
        <v>22</v>
      </c>
      <c r="H6" s="8"/>
      <c r="I6" s="9">
        <v>897.53750000000002</v>
      </c>
      <c r="J6" s="17" t="str">
        <f t="shared" si="0"/>
        <v>Saída</v>
      </c>
      <c r="K6" s="17">
        <f t="shared" si="1"/>
        <v>897.53750000000002</v>
      </c>
      <c r="L6" s="12" t="s">
        <v>60</v>
      </c>
    </row>
    <row r="7" spans="1:12" x14ac:dyDescent="0.3">
      <c r="A7" s="4">
        <v>45841</v>
      </c>
      <c r="B7" s="5" t="s">
        <v>23</v>
      </c>
      <c r="C7" s="6" t="s">
        <v>21</v>
      </c>
      <c r="D7" s="6" t="s">
        <v>11</v>
      </c>
      <c r="E7" s="7">
        <v>45809</v>
      </c>
      <c r="F7" s="6" t="s">
        <v>77</v>
      </c>
      <c r="G7" s="6" t="s">
        <v>77</v>
      </c>
      <c r="H7" s="8"/>
      <c r="I7" s="9">
        <v>2062</v>
      </c>
      <c r="J7" s="17" t="str">
        <f t="shared" si="0"/>
        <v>Saída</v>
      </c>
      <c r="K7" s="17">
        <f t="shared" si="1"/>
        <v>2062</v>
      </c>
      <c r="L7" s="13" t="s">
        <v>61</v>
      </c>
    </row>
    <row r="8" spans="1:12" x14ac:dyDescent="0.3">
      <c r="A8" s="4">
        <v>45842</v>
      </c>
      <c r="B8" s="5" t="s">
        <v>24</v>
      </c>
      <c r="C8" s="4" t="s">
        <v>25</v>
      </c>
      <c r="D8" s="6" t="s">
        <v>11</v>
      </c>
      <c r="E8" s="7">
        <v>45809</v>
      </c>
      <c r="F8" s="6" t="s">
        <v>12</v>
      </c>
      <c r="G8" s="6" t="s">
        <v>26</v>
      </c>
      <c r="H8" s="10"/>
      <c r="I8" s="9">
        <v>2790</v>
      </c>
      <c r="J8" s="17" t="str">
        <f t="shared" si="0"/>
        <v>Saída</v>
      </c>
      <c r="K8" s="17">
        <f t="shared" si="1"/>
        <v>2790</v>
      </c>
      <c r="L8" s="12" t="s">
        <v>66</v>
      </c>
    </row>
    <row r="9" spans="1:12" x14ac:dyDescent="0.3">
      <c r="A9" s="4">
        <v>45842</v>
      </c>
      <c r="B9" s="5" t="s">
        <v>28</v>
      </c>
      <c r="C9" s="6" t="s">
        <v>25</v>
      </c>
      <c r="D9" s="6" t="s">
        <v>11</v>
      </c>
      <c r="E9" s="7">
        <v>45839</v>
      </c>
      <c r="F9" s="6" t="s">
        <v>78</v>
      </c>
      <c r="G9" s="6" t="s">
        <v>29</v>
      </c>
      <c r="H9" s="8"/>
      <c r="I9" s="9">
        <v>3000</v>
      </c>
      <c r="J9" s="17" t="str">
        <f t="shared" si="0"/>
        <v>Saída</v>
      </c>
      <c r="K9" s="17">
        <f t="shared" si="1"/>
        <v>3000</v>
      </c>
      <c r="L9" s="12" t="s">
        <v>67</v>
      </c>
    </row>
    <row r="10" spans="1:12" x14ac:dyDescent="0.3">
      <c r="A10" s="4">
        <v>45842</v>
      </c>
      <c r="B10" s="5" t="s">
        <v>30</v>
      </c>
      <c r="C10" s="6" t="s">
        <v>25</v>
      </c>
      <c r="D10" s="6" t="s">
        <v>11</v>
      </c>
      <c r="E10" s="7">
        <v>45839</v>
      </c>
      <c r="F10" s="6" t="s">
        <v>78</v>
      </c>
      <c r="G10" s="6" t="s">
        <v>22</v>
      </c>
      <c r="H10" s="8"/>
      <c r="I10" s="9">
        <v>5700</v>
      </c>
      <c r="J10" s="17" t="str">
        <f t="shared" si="0"/>
        <v>Saída</v>
      </c>
      <c r="K10" s="17">
        <f t="shared" si="1"/>
        <v>5700</v>
      </c>
      <c r="L10" s="12" t="s">
        <v>73</v>
      </c>
    </row>
    <row r="11" spans="1:12" x14ac:dyDescent="0.3">
      <c r="A11" s="4">
        <v>45842</v>
      </c>
      <c r="B11" s="5" t="s">
        <v>27</v>
      </c>
      <c r="C11" s="6" t="s">
        <v>25</v>
      </c>
      <c r="D11" s="6" t="s">
        <v>11</v>
      </c>
      <c r="E11" s="7">
        <v>45809</v>
      </c>
      <c r="F11" s="6" t="s">
        <v>12</v>
      </c>
      <c r="G11" s="6" t="s">
        <v>26</v>
      </c>
      <c r="H11" s="8"/>
      <c r="I11" s="9">
        <v>930</v>
      </c>
      <c r="J11" s="17" t="str">
        <f t="shared" si="0"/>
        <v>Saída</v>
      </c>
      <c r="K11" s="17">
        <f t="shared" si="1"/>
        <v>930</v>
      </c>
      <c r="L11" s="12" t="s">
        <v>68</v>
      </c>
    </row>
    <row r="12" spans="1:12" x14ac:dyDescent="0.3">
      <c r="A12" s="4">
        <v>45845</v>
      </c>
      <c r="B12" s="11" t="s">
        <v>31</v>
      </c>
      <c r="C12" s="6" t="s">
        <v>10</v>
      </c>
      <c r="D12" s="6" t="s">
        <v>11</v>
      </c>
      <c r="E12" s="7">
        <v>45839</v>
      </c>
      <c r="F12" s="6" t="s">
        <v>15</v>
      </c>
      <c r="G12" s="6" t="s">
        <v>72</v>
      </c>
      <c r="H12" s="8">
        <v>1460.1</v>
      </c>
      <c r="I12" s="9"/>
      <c r="J12" s="17" t="str">
        <f t="shared" si="0"/>
        <v>Entrada</v>
      </c>
      <c r="K12" s="17">
        <f t="shared" si="1"/>
        <v>1460.1</v>
      </c>
      <c r="L12" s="12" t="s">
        <v>69</v>
      </c>
    </row>
    <row r="13" spans="1:12" x14ac:dyDescent="0.3">
      <c r="A13" s="4">
        <v>45846</v>
      </c>
      <c r="B13" s="5" t="s">
        <v>34</v>
      </c>
      <c r="C13" s="6" t="s">
        <v>10</v>
      </c>
      <c r="D13" s="6" t="s">
        <v>11</v>
      </c>
      <c r="E13" s="7">
        <v>45839</v>
      </c>
      <c r="F13" s="6" t="s">
        <v>15</v>
      </c>
      <c r="G13" s="6" t="s">
        <v>72</v>
      </c>
      <c r="H13" s="8">
        <v>17034.5</v>
      </c>
      <c r="I13" s="9"/>
      <c r="J13" s="17" t="str">
        <f t="shared" si="0"/>
        <v>Entrada</v>
      </c>
      <c r="K13" s="17">
        <f t="shared" si="1"/>
        <v>17034.5</v>
      </c>
      <c r="L13" s="12" t="s">
        <v>70</v>
      </c>
    </row>
    <row r="14" spans="1:12" x14ac:dyDescent="0.3">
      <c r="A14" s="4">
        <v>45846</v>
      </c>
      <c r="B14" s="11" t="s">
        <v>32</v>
      </c>
      <c r="C14" s="6" t="s">
        <v>25</v>
      </c>
      <c r="D14" s="6" t="s">
        <v>11</v>
      </c>
      <c r="E14" s="7">
        <v>45839</v>
      </c>
      <c r="F14" s="6" t="s">
        <v>12</v>
      </c>
      <c r="G14" s="6" t="s">
        <v>33</v>
      </c>
      <c r="H14" s="8"/>
      <c r="I14" s="9">
        <v>608.79</v>
      </c>
      <c r="J14" s="17" t="str">
        <f t="shared" si="0"/>
        <v>Saída</v>
      </c>
      <c r="K14" s="17">
        <f t="shared" si="1"/>
        <v>608.79</v>
      </c>
      <c r="L14" s="12" t="s">
        <v>71</v>
      </c>
    </row>
    <row r="15" spans="1:12" x14ac:dyDescent="0.3">
      <c r="A15" s="4">
        <v>45846</v>
      </c>
      <c r="B15" s="5" t="s">
        <v>35</v>
      </c>
      <c r="C15" s="6" t="s">
        <v>25</v>
      </c>
      <c r="D15" s="6" t="s">
        <v>11</v>
      </c>
      <c r="E15" s="7">
        <v>45809</v>
      </c>
      <c r="F15" s="6" t="s">
        <v>12</v>
      </c>
      <c r="G15" s="6" t="s">
        <v>75</v>
      </c>
      <c r="H15" s="8"/>
      <c r="I15" s="9">
        <v>7143.51</v>
      </c>
      <c r="J15" s="17" t="str">
        <f t="shared" si="0"/>
        <v>Saída</v>
      </c>
      <c r="K15" s="17">
        <f t="shared" si="1"/>
        <v>7143.51</v>
      </c>
    </row>
    <row r="16" spans="1:12" x14ac:dyDescent="0.3">
      <c r="A16" s="4">
        <v>45846</v>
      </c>
      <c r="B16" s="5" t="s">
        <v>30</v>
      </c>
      <c r="C16" s="6" t="s">
        <v>25</v>
      </c>
      <c r="D16" s="6" t="s">
        <v>11</v>
      </c>
      <c r="E16" s="7">
        <v>45839</v>
      </c>
      <c r="F16" s="6" t="s">
        <v>78</v>
      </c>
      <c r="G16" s="6" t="s">
        <v>22</v>
      </c>
      <c r="H16" s="8"/>
      <c r="I16" s="9">
        <v>1300</v>
      </c>
      <c r="J16" s="17" t="str">
        <f t="shared" si="0"/>
        <v>Saída</v>
      </c>
      <c r="K16" s="17">
        <f t="shared" si="1"/>
        <v>1300</v>
      </c>
    </row>
    <row r="17" spans="1:11" x14ac:dyDescent="0.3">
      <c r="A17" s="4">
        <v>45847</v>
      </c>
      <c r="B17" s="5" t="s">
        <v>36</v>
      </c>
      <c r="C17" s="6" t="s">
        <v>10</v>
      </c>
      <c r="D17" s="6" t="s">
        <v>11</v>
      </c>
      <c r="E17" s="7">
        <v>45809</v>
      </c>
      <c r="F17" s="6" t="s">
        <v>12</v>
      </c>
      <c r="G17" s="6" t="s">
        <v>76</v>
      </c>
      <c r="H17" s="8"/>
      <c r="I17" s="9">
        <v>263.29000000000002</v>
      </c>
      <c r="J17" s="17" t="str">
        <f t="shared" si="0"/>
        <v>Saída</v>
      </c>
      <c r="K17" s="17">
        <f t="shared" si="1"/>
        <v>263.29000000000002</v>
      </c>
    </row>
    <row r="18" spans="1:11" x14ac:dyDescent="0.3">
      <c r="A18" s="4">
        <v>45847</v>
      </c>
      <c r="B18" s="11" t="s">
        <v>37</v>
      </c>
      <c r="C18" s="6" t="s">
        <v>10</v>
      </c>
      <c r="D18" s="6" t="s">
        <v>11</v>
      </c>
      <c r="E18" s="7">
        <v>45839</v>
      </c>
      <c r="F18" s="6" t="s">
        <v>15</v>
      </c>
      <c r="G18" s="6" t="s">
        <v>72</v>
      </c>
      <c r="H18" s="8">
        <v>973.4</v>
      </c>
      <c r="I18" s="9"/>
      <c r="J18" s="17" t="str">
        <f t="shared" si="0"/>
        <v>Entrada</v>
      </c>
      <c r="K18" s="17">
        <f t="shared" si="1"/>
        <v>973.4</v>
      </c>
    </row>
    <row r="19" spans="1:11" x14ac:dyDescent="0.3">
      <c r="A19" s="4">
        <v>45849</v>
      </c>
      <c r="B19" s="11" t="s">
        <v>38</v>
      </c>
      <c r="C19" s="6" t="s">
        <v>25</v>
      </c>
      <c r="D19" s="6" t="s">
        <v>11</v>
      </c>
      <c r="E19" s="7">
        <v>45839</v>
      </c>
      <c r="F19" s="6" t="s">
        <v>15</v>
      </c>
      <c r="G19" s="6" t="s">
        <v>72</v>
      </c>
      <c r="H19" s="8">
        <v>2725.52</v>
      </c>
      <c r="I19" s="9"/>
      <c r="J19" s="17" t="str">
        <f t="shared" si="0"/>
        <v>Entrada</v>
      </c>
      <c r="K19" s="17">
        <f t="shared" si="1"/>
        <v>2725.52</v>
      </c>
    </row>
    <row r="20" spans="1:11" x14ac:dyDescent="0.3">
      <c r="A20" s="4">
        <v>45853</v>
      </c>
      <c r="B20" s="5" t="s">
        <v>39</v>
      </c>
      <c r="C20" s="6" t="s">
        <v>10</v>
      </c>
      <c r="D20" s="6" t="s">
        <v>11</v>
      </c>
      <c r="E20" s="7">
        <v>45809</v>
      </c>
      <c r="F20" s="6" t="s">
        <v>12</v>
      </c>
      <c r="G20" s="6" t="s">
        <v>39</v>
      </c>
      <c r="H20" s="8"/>
      <c r="I20" s="9">
        <v>265.2</v>
      </c>
      <c r="J20" s="17" t="str">
        <f t="shared" si="0"/>
        <v>Saída</v>
      </c>
      <c r="K20" s="17">
        <f t="shared" si="1"/>
        <v>265.2</v>
      </c>
    </row>
    <row r="21" spans="1:11" x14ac:dyDescent="0.3">
      <c r="A21" s="4">
        <v>45854</v>
      </c>
      <c r="B21" s="5" t="s">
        <v>40</v>
      </c>
      <c r="C21" s="6" t="s">
        <v>41</v>
      </c>
      <c r="D21" s="6" t="s">
        <v>11</v>
      </c>
      <c r="E21" s="7">
        <v>45809</v>
      </c>
      <c r="F21" s="6" t="s">
        <v>15</v>
      </c>
      <c r="G21" s="6" t="s">
        <v>72</v>
      </c>
      <c r="H21" s="8">
        <v>4018.86</v>
      </c>
      <c r="I21" s="9"/>
      <c r="J21" s="17" t="str">
        <f t="shared" si="0"/>
        <v>Entrada</v>
      </c>
      <c r="K21" s="17">
        <f t="shared" si="1"/>
        <v>4018.86</v>
      </c>
    </row>
    <row r="22" spans="1:11" x14ac:dyDescent="0.3">
      <c r="A22" s="4">
        <v>45855</v>
      </c>
      <c r="B22" s="5" t="s">
        <v>42</v>
      </c>
      <c r="C22" s="6" t="s">
        <v>10</v>
      </c>
      <c r="D22" s="6" t="s">
        <v>11</v>
      </c>
      <c r="E22" s="7">
        <v>45839</v>
      </c>
      <c r="F22" s="6" t="s">
        <v>15</v>
      </c>
      <c r="G22" s="6" t="s">
        <v>72</v>
      </c>
      <c r="H22" s="8">
        <v>2000</v>
      </c>
      <c r="I22" s="9"/>
      <c r="J22" s="17" t="str">
        <f t="shared" si="0"/>
        <v>Entrada</v>
      </c>
      <c r="K22" s="17">
        <f t="shared" si="1"/>
        <v>2000</v>
      </c>
    </row>
    <row r="23" spans="1:11" x14ac:dyDescent="0.3">
      <c r="A23" s="4">
        <v>45855</v>
      </c>
      <c r="B23" s="5" t="s">
        <v>43</v>
      </c>
      <c r="C23" s="6" t="s">
        <v>10</v>
      </c>
      <c r="D23" s="6" t="s">
        <v>11</v>
      </c>
      <c r="E23" s="7">
        <v>45839</v>
      </c>
      <c r="F23" s="6" t="s">
        <v>15</v>
      </c>
      <c r="G23" s="6" t="s">
        <v>72</v>
      </c>
      <c r="H23" s="8">
        <v>2063.61</v>
      </c>
      <c r="I23" s="9"/>
      <c r="J23" s="17" t="str">
        <f t="shared" si="0"/>
        <v>Entrada</v>
      </c>
      <c r="K23" s="17">
        <f t="shared" si="1"/>
        <v>2063.61</v>
      </c>
    </row>
    <row r="24" spans="1:11" x14ac:dyDescent="0.3">
      <c r="A24" s="4">
        <v>45856</v>
      </c>
      <c r="B24" s="5" t="s">
        <v>44</v>
      </c>
      <c r="C24" s="6" t="s">
        <v>10</v>
      </c>
      <c r="D24" s="6" t="s">
        <v>11</v>
      </c>
      <c r="E24" s="7">
        <v>45809</v>
      </c>
      <c r="F24" s="6" t="s">
        <v>12</v>
      </c>
      <c r="G24" s="6" t="s">
        <v>45</v>
      </c>
      <c r="H24" s="8"/>
      <c r="I24" s="9">
        <v>2353.4899999999998</v>
      </c>
      <c r="J24" s="17" t="str">
        <f t="shared" si="0"/>
        <v>Saída</v>
      </c>
      <c r="K24" s="17">
        <f t="shared" si="1"/>
        <v>2353.4899999999998</v>
      </c>
    </row>
    <row r="25" spans="1:11" x14ac:dyDescent="0.3">
      <c r="A25" s="4">
        <v>45859</v>
      </c>
      <c r="B25" s="5" t="s">
        <v>46</v>
      </c>
      <c r="C25" s="6" t="s">
        <v>10</v>
      </c>
      <c r="D25" s="6" t="s">
        <v>11</v>
      </c>
      <c r="E25" s="7">
        <v>45809</v>
      </c>
      <c r="F25" s="6" t="s">
        <v>12</v>
      </c>
      <c r="G25" s="6" t="s">
        <v>46</v>
      </c>
      <c r="H25" s="8"/>
      <c r="I25" s="9">
        <v>1493.39</v>
      </c>
      <c r="J25" s="17" t="str">
        <f t="shared" si="0"/>
        <v>Saída</v>
      </c>
      <c r="K25" s="17">
        <f t="shared" si="1"/>
        <v>1493.39</v>
      </c>
    </row>
    <row r="26" spans="1:11" x14ac:dyDescent="0.3">
      <c r="A26" s="4">
        <v>45859</v>
      </c>
      <c r="B26" s="5" t="s">
        <v>47</v>
      </c>
      <c r="C26" s="6" t="s">
        <v>25</v>
      </c>
      <c r="D26" s="6" t="s">
        <v>11</v>
      </c>
      <c r="E26" s="7">
        <v>45839</v>
      </c>
      <c r="F26" s="6" t="s">
        <v>15</v>
      </c>
      <c r="G26" s="6" t="s">
        <v>72</v>
      </c>
      <c r="H26" s="8">
        <v>400</v>
      </c>
      <c r="I26" s="9"/>
      <c r="J26" s="17" t="str">
        <f t="shared" si="0"/>
        <v>Entrada</v>
      </c>
      <c r="K26" s="17">
        <f t="shared" si="1"/>
        <v>400</v>
      </c>
    </row>
    <row r="27" spans="1:11" x14ac:dyDescent="0.3">
      <c r="A27" s="4">
        <v>45860</v>
      </c>
      <c r="B27" s="5" t="s">
        <v>48</v>
      </c>
      <c r="C27" s="6" t="s">
        <v>10</v>
      </c>
      <c r="D27" s="6" t="s">
        <v>11</v>
      </c>
      <c r="E27" s="7">
        <v>45809</v>
      </c>
      <c r="F27" s="6" t="s">
        <v>12</v>
      </c>
      <c r="G27" s="6" t="s">
        <v>49</v>
      </c>
      <c r="H27" s="8"/>
      <c r="I27" s="9">
        <v>92.54</v>
      </c>
      <c r="J27" s="17" t="str">
        <f t="shared" si="0"/>
        <v>Saída</v>
      </c>
      <c r="K27" s="17">
        <f t="shared" si="1"/>
        <v>92.54</v>
      </c>
    </row>
    <row r="28" spans="1:11" x14ac:dyDescent="0.3">
      <c r="A28" s="4">
        <v>45860</v>
      </c>
      <c r="B28" s="5" t="s">
        <v>50</v>
      </c>
      <c r="C28" s="6" t="s">
        <v>80</v>
      </c>
      <c r="D28" s="6" t="s">
        <v>11</v>
      </c>
      <c r="E28" s="7">
        <v>45839</v>
      </c>
      <c r="F28" s="6" t="s">
        <v>15</v>
      </c>
      <c r="G28" s="6" t="s">
        <v>72</v>
      </c>
      <c r="H28" s="8">
        <v>1964.8</v>
      </c>
      <c r="I28" s="9"/>
      <c r="J28" s="17" t="str">
        <f t="shared" si="0"/>
        <v>Entrada</v>
      </c>
      <c r="K28" s="17">
        <f t="shared" si="1"/>
        <v>1964.8</v>
      </c>
    </row>
    <row r="29" spans="1:11" x14ac:dyDescent="0.3">
      <c r="A29" s="4">
        <v>45861</v>
      </c>
      <c r="B29" s="5" t="s">
        <v>52</v>
      </c>
      <c r="C29" s="6" t="s">
        <v>10</v>
      </c>
      <c r="D29" s="6" t="s">
        <v>11</v>
      </c>
      <c r="E29" s="7">
        <v>45839</v>
      </c>
      <c r="F29" s="6" t="s">
        <v>17</v>
      </c>
      <c r="G29" s="6" t="s">
        <v>74</v>
      </c>
      <c r="H29" s="8">
        <v>80.459999999999994</v>
      </c>
      <c r="I29" s="9"/>
      <c r="J29" s="17" t="str">
        <f t="shared" si="0"/>
        <v>Entrada</v>
      </c>
      <c r="K29" s="17">
        <f t="shared" si="1"/>
        <v>80.459999999999994</v>
      </c>
    </row>
    <row r="30" spans="1:11" x14ac:dyDescent="0.3">
      <c r="A30" s="4">
        <v>45861</v>
      </c>
      <c r="B30" s="5" t="s">
        <v>51</v>
      </c>
      <c r="C30" s="6" t="s">
        <v>10</v>
      </c>
      <c r="D30" s="6" t="s">
        <v>11</v>
      </c>
      <c r="E30" s="7">
        <v>45839</v>
      </c>
      <c r="F30" s="6" t="s">
        <v>15</v>
      </c>
      <c r="G30" s="6" t="s">
        <v>72</v>
      </c>
      <c r="H30" s="8">
        <v>3893.6</v>
      </c>
      <c r="I30" s="9"/>
      <c r="J30" s="17" t="str">
        <f t="shared" si="0"/>
        <v>Entrada</v>
      </c>
      <c r="K30" s="17">
        <f t="shared" si="1"/>
        <v>3893.6</v>
      </c>
    </row>
    <row r="31" spans="1:11" x14ac:dyDescent="0.3">
      <c r="A31" s="4">
        <v>45861</v>
      </c>
      <c r="B31" s="5" t="s">
        <v>53</v>
      </c>
      <c r="C31" s="6" t="s">
        <v>10</v>
      </c>
      <c r="D31" s="6" t="s">
        <v>11</v>
      </c>
      <c r="E31" s="7">
        <v>45839</v>
      </c>
      <c r="F31" s="6" t="s">
        <v>15</v>
      </c>
      <c r="G31" s="6" t="s">
        <v>72</v>
      </c>
      <c r="H31" s="8">
        <v>4867</v>
      </c>
      <c r="I31" s="9"/>
      <c r="J31" s="17" t="str">
        <f t="shared" si="0"/>
        <v>Entrada</v>
      </c>
      <c r="K31" s="17">
        <f t="shared" si="1"/>
        <v>4867</v>
      </c>
    </row>
    <row r="32" spans="1:11" x14ac:dyDescent="0.3">
      <c r="A32" s="4">
        <v>45861</v>
      </c>
      <c r="B32" s="5" t="s">
        <v>54</v>
      </c>
      <c r="C32" s="6" t="s">
        <v>21</v>
      </c>
      <c r="D32" s="6" t="s">
        <v>11</v>
      </c>
      <c r="E32" s="7">
        <v>45839</v>
      </c>
      <c r="F32" s="6" t="s">
        <v>77</v>
      </c>
      <c r="G32" s="6" t="s">
        <v>77</v>
      </c>
      <c r="H32" s="8"/>
      <c r="I32" s="9">
        <v>1000</v>
      </c>
      <c r="J32" s="17" t="str">
        <f t="shared" si="0"/>
        <v>Saída</v>
      </c>
      <c r="K32" s="17">
        <f t="shared" si="1"/>
        <v>1000</v>
      </c>
    </row>
    <row r="33" spans="1:11" x14ac:dyDescent="0.3">
      <c r="A33" s="4">
        <v>45869</v>
      </c>
      <c r="B33" s="5" t="s">
        <v>58</v>
      </c>
      <c r="C33" s="6" t="s">
        <v>21</v>
      </c>
      <c r="D33" s="6" t="s">
        <v>11</v>
      </c>
      <c r="E33" s="7">
        <v>45839</v>
      </c>
      <c r="F33" s="6" t="s">
        <v>17</v>
      </c>
      <c r="G33" s="6" t="s">
        <v>79</v>
      </c>
      <c r="H33" s="8">
        <v>319.75</v>
      </c>
      <c r="I33" s="9"/>
      <c r="J33" s="17" t="str">
        <f t="shared" si="0"/>
        <v>Entrada</v>
      </c>
      <c r="K33" s="17">
        <f t="shared" si="1"/>
        <v>319.75</v>
      </c>
    </row>
    <row r="34" spans="1:11" x14ac:dyDescent="0.3">
      <c r="A34" s="4">
        <v>45869</v>
      </c>
      <c r="B34" s="5" t="s">
        <v>23</v>
      </c>
      <c r="C34" s="6" t="s">
        <v>21</v>
      </c>
      <c r="D34" s="6" t="s">
        <v>11</v>
      </c>
      <c r="E34" s="7">
        <v>45839</v>
      </c>
      <c r="F34" s="6" t="s">
        <v>77</v>
      </c>
      <c r="G34" s="6" t="s">
        <v>77</v>
      </c>
      <c r="H34" s="8"/>
      <c r="I34" s="9">
        <v>5122</v>
      </c>
      <c r="J34" s="17" t="str">
        <f t="shared" si="0"/>
        <v>Saída</v>
      </c>
      <c r="K34" s="17">
        <f t="shared" si="1"/>
        <v>5122</v>
      </c>
    </row>
    <row r="35" spans="1:11" x14ac:dyDescent="0.3">
      <c r="A35" s="4">
        <v>45869</v>
      </c>
      <c r="B35" s="5" t="s">
        <v>55</v>
      </c>
      <c r="C35" s="6" t="s">
        <v>56</v>
      </c>
      <c r="D35" s="6" t="s">
        <v>11</v>
      </c>
      <c r="E35" s="7">
        <v>45809</v>
      </c>
      <c r="F35" s="6" t="s">
        <v>15</v>
      </c>
      <c r="G35" s="6" t="s">
        <v>72</v>
      </c>
      <c r="H35" s="8">
        <v>7043.76</v>
      </c>
      <c r="I35" s="9"/>
      <c r="J35" s="17" t="str">
        <f t="shared" si="0"/>
        <v>Entrada</v>
      </c>
      <c r="K35" s="17">
        <f t="shared" si="1"/>
        <v>7043.76</v>
      </c>
    </row>
    <row r="36" spans="1:11" x14ac:dyDescent="0.3">
      <c r="A36" s="4">
        <v>45869</v>
      </c>
      <c r="B36" s="5" t="s">
        <v>57</v>
      </c>
      <c r="C36" s="6" t="s">
        <v>80</v>
      </c>
      <c r="D36" s="6" t="s">
        <v>11</v>
      </c>
      <c r="E36" s="7">
        <v>45839</v>
      </c>
      <c r="F36" s="6" t="s">
        <v>12</v>
      </c>
      <c r="G36" s="6" t="s">
        <v>76</v>
      </c>
      <c r="H36" s="8"/>
      <c r="I36" s="9">
        <v>93</v>
      </c>
      <c r="J36" s="17" t="str">
        <f t="shared" si="0"/>
        <v>Saída</v>
      </c>
      <c r="K36" s="17">
        <f t="shared" si="1"/>
        <v>93</v>
      </c>
    </row>
    <row r="40" spans="1:11" x14ac:dyDescent="0.3">
      <c r="E40" s="15"/>
    </row>
  </sheetData>
  <autoFilter ref="A1:I36" xr:uid="{FDB2C876-A8BB-4A6A-9E5A-7439F658326D}">
    <sortState xmlns:xlrd2="http://schemas.microsoft.com/office/spreadsheetml/2017/richdata2" ref="A2:I36">
      <sortCondition ref="A1:A36"/>
    </sortState>
  </autoFilter>
  <conditionalFormatting sqref="D2:D36">
    <cfRule type="containsText" dxfId="2" priority="1" operator="containsText" text="Atrasado">
      <formula>NOT(ISERROR(SEARCH("Atrasado",D2)))</formula>
    </cfRule>
    <cfRule type="containsText" dxfId="1" priority="2" operator="containsText" text="Pago">
      <formula>NOT(ISERROR(SEARCH("Pago",D2)))</formula>
    </cfRule>
    <cfRule type="containsText" dxfId="0" priority="3" operator="containsText" text="No prazo">
      <formula>NOT(ISERROR(SEARCH("No prazo",D2)))</formula>
    </cfRule>
  </conditionalFormatting>
  <dataValidations count="1">
    <dataValidation type="list" allowBlank="1" showInputMessage="1" showErrorMessage="1" sqref="D2:D36" xr:uid="{7925A217-BD4A-45AE-9C1D-FD19B2840EC7}">
      <formula1>"No Prazo, Atrasado, Pago"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8CDA-A6F7-44E5-A5EE-A63B94EBEE86}">
  <dimension ref="A1:C14"/>
  <sheetViews>
    <sheetView workbookViewId="0">
      <selection activeCell="B22" sqref="B22"/>
    </sheetView>
  </sheetViews>
  <sheetFormatPr defaultRowHeight="14.4" x14ac:dyDescent="0.3"/>
  <cols>
    <col min="1" max="1" width="81" customWidth="1"/>
  </cols>
  <sheetData>
    <row r="1" spans="1:3" x14ac:dyDescent="0.3">
      <c r="A1" s="12" t="s">
        <v>59</v>
      </c>
    </row>
    <row r="2" spans="1:3" x14ac:dyDescent="0.3">
      <c r="A2" s="12" t="s">
        <v>62</v>
      </c>
    </row>
    <row r="3" spans="1:3" x14ac:dyDescent="0.3">
      <c r="A3" s="12" t="s">
        <v>63</v>
      </c>
    </row>
    <row r="4" spans="1:3" x14ac:dyDescent="0.3">
      <c r="A4" s="12" t="s">
        <v>64</v>
      </c>
    </row>
    <row r="5" spans="1:3" x14ac:dyDescent="0.3">
      <c r="A5" s="12" t="s">
        <v>65</v>
      </c>
    </row>
    <row r="6" spans="1:3" x14ac:dyDescent="0.3">
      <c r="A6" s="12" t="s">
        <v>60</v>
      </c>
    </row>
    <row r="7" spans="1:3" x14ac:dyDescent="0.3">
      <c r="A7" s="13" t="s">
        <v>61</v>
      </c>
    </row>
    <row r="8" spans="1:3" x14ac:dyDescent="0.3">
      <c r="A8" s="12" t="s">
        <v>66</v>
      </c>
    </row>
    <row r="9" spans="1:3" x14ac:dyDescent="0.3">
      <c r="A9" s="12" t="s">
        <v>67</v>
      </c>
    </row>
    <row r="10" spans="1:3" x14ac:dyDescent="0.3">
      <c r="A10" s="12" t="s">
        <v>73</v>
      </c>
    </row>
    <row r="11" spans="1:3" x14ac:dyDescent="0.3">
      <c r="A11" s="12" t="s">
        <v>68</v>
      </c>
    </row>
    <row r="12" spans="1:3" x14ac:dyDescent="0.3">
      <c r="A12" s="12" t="s">
        <v>69</v>
      </c>
    </row>
    <row r="13" spans="1:3" x14ac:dyDescent="0.3">
      <c r="A13" s="12" t="s">
        <v>70</v>
      </c>
    </row>
    <row r="14" spans="1:3" x14ac:dyDescent="0.3">
      <c r="A14" s="12" t="s">
        <v>71</v>
      </c>
      <c r="C14" s="1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614B2A35D6D469A4AAE62A5259962" ma:contentTypeVersion="16" ma:contentTypeDescription="Create a new document." ma:contentTypeScope="" ma:versionID="411744799c34c2fa5d5f2c31b9a984a7">
  <xsd:schema xmlns:xsd="http://www.w3.org/2001/XMLSchema" xmlns:xs="http://www.w3.org/2001/XMLSchema" xmlns:p="http://schemas.microsoft.com/office/2006/metadata/properties" xmlns:ns3="aa3b2fb2-31e3-46e5-8720-d11ed4c2866b" xmlns:ns4="f7266a75-1e91-4afd-b62e-58e4d3d48567" targetNamespace="http://schemas.microsoft.com/office/2006/metadata/properties" ma:root="true" ma:fieldsID="da5e3ef6ddac40426ec6a9db4aa24857" ns3:_="" ns4:_="">
    <xsd:import namespace="aa3b2fb2-31e3-46e5-8720-d11ed4c2866b"/>
    <xsd:import namespace="f7266a75-1e91-4afd-b62e-58e4d3d485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b2fb2-31e3-46e5-8720-d11ed4c286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66a75-1e91-4afd-b62e-58e4d3d4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266a75-1e91-4afd-b62e-58e4d3d485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58595-3C70-4EF4-B936-EF6E97611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b2fb2-31e3-46e5-8720-d11ed4c2866b"/>
    <ds:schemaRef ds:uri="f7266a75-1e91-4afd-b62e-58e4d3d48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33C8BA-9A29-4BCE-811B-075F4F352DDA}">
  <ds:schemaRefs>
    <ds:schemaRef ds:uri="aa3b2fb2-31e3-46e5-8720-d11ed4c2866b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7266a75-1e91-4afd-b62e-58e4d3d485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F8C349A-B4DF-433F-BF27-56BEFA183B6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plan_clientes</vt:lpstr>
      <vt:lpstr>plan_propostas</vt:lpstr>
      <vt:lpstr>plan_dados</vt:lpstr>
      <vt:lpstr>plan_categorias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William Lins Soares</dc:creator>
  <cp:lastModifiedBy>Adam William Lins Soares</cp:lastModifiedBy>
  <dcterms:created xsi:type="dcterms:W3CDTF">2025-09-24T20:11:43Z</dcterms:created>
  <dcterms:modified xsi:type="dcterms:W3CDTF">2025-10-06T00:28:18Z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0x01010093D614B2A35D6D469A4AAE62A5259962</vt:lpwstr>
  </property>
</Properties>
</file>